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4800" windowHeight="22860" tabRatio="600" firstSheet="0" activeTab="5" autoFilterDateGrouping="1"/>
  </bookViews>
  <sheets>
    <sheet xmlns:r="http://schemas.openxmlformats.org/officeDocument/2006/relationships" name="📖 Instrucciones" sheetId="1" state="visible" r:id="rId1"/>
    <sheet xmlns:r="http://schemas.openxmlformats.org/officeDocument/2006/relationships" name="📋 Matriz principal" sheetId="2" state="visible" r:id="rId2"/>
    <sheet xmlns:r="http://schemas.openxmlformats.org/officeDocument/2006/relationships" name="🔗 Trazabilidad visual" sheetId="3" state="visible" r:id="rId3"/>
    <sheet xmlns:r="http://schemas.openxmlformats.org/officeDocument/2006/relationships" name="📊 Resumen y métricas" sheetId="4" state="visible" r:id="rId4"/>
    <sheet xmlns:r="http://schemas.openxmlformats.org/officeDocument/2006/relationships" name="📝 Registro de RFCs" sheetId="5" state="visible" r:id="rId5"/>
    <sheet xmlns:r="http://schemas.openxmlformats.org/officeDocument/2006/relationships" name="🗂️ Catálogo de artefactos" sheetId="6" state="visible" r:id="rId6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0"/>
  <fonts count="44">
    <font>
      <name val="Roboto"/>
      <family val="2"/>
      <color theme="1"/>
      <sz val="11"/>
      <scheme val="minor"/>
    </font>
    <font>
      <name val="Arial"/>
      <family val="2"/>
      <b val="1"/>
      <color rgb="FFFFFFFF"/>
      <sz val="18"/>
    </font>
    <font>
      <name val="Arial"/>
      <family val="2"/>
      <b val="1"/>
      <color rgb="FF1A1A1A"/>
      <sz val="11"/>
    </font>
    <font>
      <name val="Arial"/>
      <family val="2"/>
      <color rgb="FF1A1A1A"/>
      <sz val="9"/>
    </font>
    <font>
      <name val="Arial"/>
      <family val="2"/>
      <b val="1"/>
      <color rgb="FF993556"/>
      <sz val="9"/>
    </font>
    <font>
      <name val="Arial"/>
      <family val="2"/>
      <b val="1"/>
      <color rgb="FF27500A"/>
      <sz val="9"/>
    </font>
    <font>
      <name val="Arial"/>
      <family val="2"/>
      <color rgb="FF555555"/>
      <sz val="9"/>
    </font>
    <font>
      <name val="Arial"/>
      <family val="2"/>
      <b val="1"/>
      <color rgb="FF633806"/>
      <sz val="9"/>
    </font>
    <font>
      <name val="Arial"/>
      <family val="2"/>
      <b val="1"/>
      <color rgb="FF791F1F"/>
      <sz val="9"/>
    </font>
    <font>
      <name val="Arial"/>
      <family val="2"/>
      <b val="1"/>
      <color rgb="FF0C447C"/>
      <sz val="9"/>
    </font>
    <font>
      <name val="Arial"/>
      <family val="2"/>
      <b val="1"/>
      <color rgb="FF3C3489"/>
      <sz val="9"/>
    </font>
    <font>
      <name val="Arial"/>
      <family val="2"/>
      <b val="1"/>
      <color rgb="FF888780"/>
      <sz val="9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b val="1"/>
      <color rgb="FF1A1A1A"/>
      <sz val="9"/>
    </font>
    <font>
      <name val="Arial"/>
      <family val="2"/>
      <b val="1"/>
      <color rgb="FFFFFFFF"/>
      <sz val="8"/>
    </font>
    <font>
      <name val="Arial"/>
      <family val="2"/>
      <b val="1"/>
      <color rgb="FF27500A"/>
      <sz val="10"/>
    </font>
    <font>
      <name val="Arial"/>
      <family val="2"/>
      <i val="1"/>
      <color rgb="FFD4537E"/>
      <sz val="9"/>
    </font>
    <font>
      <name val="Arial"/>
      <family val="2"/>
      <color rgb="FFFFFFFF"/>
      <sz val="9"/>
    </font>
    <font>
      <name val="Arial"/>
      <family val="2"/>
      <b val="1"/>
      <color rgb="FFFFFFFF"/>
      <sz val="22"/>
    </font>
    <font>
      <name val="Arial"/>
      <family val="2"/>
      <b val="1"/>
      <color rgb="FFFFFFFF"/>
      <sz val="10"/>
    </font>
    <font>
      <name val="Arial"/>
      <family val="2"/>
      <b val="1"/>
      <color rgb="FF0C447C"/>
      <sz val="8"/>
    </font>
    <font>
      <name val="Arial"/>
      <family val="2"/>
      <b val="1"/>
      <color rgb="FF0C447C"/>
      <sz val="16"/>
    </font>
    <font>
      <name val="Arial"/>
      <family val="2"/>
      <b val="1"/>
      <color rgb="FF085041"/>
      <sz val="8"/>
    </font>
    <font>
      <name val="Arial"/>
      <family val="2"/>
      <b val="1"/>
      <color rgb="FF085041"/>
      <sz val="16"/>
    </font>
    <font>
      <name val="Arial"/>
      <family val="2"/>
      <b val="1"/>
      <color rgb="FF633806"/>
      <sz val="8"/>
    </font>
    <font>
      <name val="Arial"/>
      <family val="2"/>
      <b val="1"/>
      <color rgb="FF633806"/>
      <sz val="16"/>
    </font>
    <font>
      <name val="Arial"/>
      <family val="2"/>
      <b val="1"/>
      <color rgb="FF27500A"/>
      <sz val="8"/>
    </font>
    <font>
      <name val="Arial"/>
      <family val="2"/>
      <b val="1"/>
      <color rgb="FF27500A"/>
      <sz val="16"/>
    </font>
    <font>
      <name val="Arial"/>
      <family val="2"/>
      <b val="1"/>
      <color rgb="FF3C3489"/>
      <sz val="8"/>
    </font>
    <font>
      <name val="Arial"/>
      <family val="2"/>
      <b val="1"/>
      <color rgb="FF3C3489"/>
      <sz val="16"/>
    </font>
    <font>
      <name val="Arial"/>
      <family val="2"/>
      <b val="1"/>
      <color rgb="FF791F1F"/>
      <sz val="8"/>
    </font>
    <font>
      <name val="Arial"/>
      <family val="2"/>
      <b val="1"/>
      <color rgb="FF791F1F"/>
      <sz val="16"/>
    </font>
    <font>
      <name val="Arial"/>
      <family val="2"/>
      <b val="1"/>
      <color rgb="FF888780"/>
      <sz val="8"/>
    </font>
    <font>
      <name val="Arial"/>
      <family val="2"/>
      <b val="1"/>
      <color rgb="FF888780"/>
      <sz val="16"/>
    </font>
    <font>
      <name val="Arial"/>
      <family val="2"/>
      <b val="1"/>
      <color rgb="FF791F1F"/>
      <sz val="18"/>
    </font>
    <font>
      <name val="Arial"/>
      <family val="2"/>
      <b val="1"/>
      <color rgb="FF633806"/>
      <sz val="18"/>
    </font>
    <font>
      <name val="Arial"/>
      <family val="2"/>
      <b val="1"/>
      <color rgb="FF0C447C"/>
      <sz val="18"/>
    </font>
    <font>
      <name val="Arial"/>
      <family val="2"/>
      <b val="1"/>
      <color rgb="FF888780"/>
      <sz val="18"/>
    </font>
    <font>
      <name val="Arial"/>
      <family val="2"/>
      <i val="1"/>
      <color rgb="FF791F1F"/>
      <sz val="9"/>
    </font>
    <font>
      <name val="Arial"/>
      <family val="2"/>
      <b val="1"/>
      <color rgb="FF085041"/>
      <sz val="9"/>
    </font>
    <font>
      <name val="Arial"/>
      <family val="2"/>
      <b val="1"/>
      <color theme="9" tint="-0.499984740745262"/>
      <sz val="9"/>
    </font>
    <font>
      <name val="Roboto"/>
      <family val="2"/>
      <color theme="9" tint="-0.499984740745262"/>
      <sz val="11"/>
      <scheme val="minor"/>
    </font>
    <font>
      <name val="Arial"/>
      <family val="2"/>
      <i val="1"/>
      <color theme="9" tint="-0.499984740745262"/>
      <sz val="10"/>
    </font>
  </fonts>
  <fills count="20">
    <fill>
      <patternFill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7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"/>
      </bottom>
      <diagonal/>
    </border>
    <border>
      <left style="thin">
        <color theme="9" tint="0.7999816888943144"/>
      </left>
      <right style="thin">
        <color rgb="FFD4537E"/>
      </right>
      <top style="thin">
        <color theme="9" tint="0.7999816888943144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"/>
      </top>
      <bottom style="thin">
        <color theme="9" tint="0.7999816888943144"/>
      </bottom>
      <diagonal/>
    </border>
    <border>
      <left style="thin">
        <color theme="9" tint="0.7999816888943144"/>
      </left>
      <right/>
      <top style="thin">
        <color theme="9" tint="0.7999816888943144"/>
      </top>
      <bottom style="thin">
        <color theme="9" tint="0.7999816888943144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DDCCCC"/>
      </top>
      <bottom/>
      <diagonal/>
    </border>
    <border>
      <left/>
      <right style="thin">
        <color rgb="FFDDCCCC"/>
      </right>
      <top style="thin">
        <color rgb="FFDDCCCC"/>
      </top>
      <bottom/>
      <diagonal/>
    </border>
    <border>
      <left/>
      <right style="thin">
        <color rgb="FFDDCCCC"/>
      </right>
      <top style="thin">
        <color rgb="FFDDCCCC"/>
      </top>
      <bottom style="thin">
        <color rgb="FFDDCCCC"/>
      </bottom>
      <diagonal/>
    </border>
    <border>
      <left/>
      <right style="thin">
        <color rgb="FFBA7517"/>
      </right>
      <top/>
      <bottom/>
      <diagonal/>
    </border>
    <border>
      <left/>
      <right/>
      <top/>
      <bottom style="thin">
        <color rgb="FFBA7517"/>
      </bottom>
      <diagonal/>
    </border>
    <border>
      <left/>
      <right style="thin">
        <color rgb="FFBA7517"/>
      </right>
      <top/>
      <bottom style="thin">
        <color rgb="FFBA7517"/>
      </bottom>
      <diagonal/>
    </border>
    <border>
      <left/>
      <right style="thin">
        <color rgb="FF1D9E75"/>
      </right>
      <top/>
      <bottom/>
      <diagonal/>
    </border>
    <border>
      <left/>
      <right/>
      <top/>
      <bottom style="thin">
        <color rgb="FF1D9E75"/>
      </bottom>
      <diagonal/>
    </border>
    <border>
      <left/>
      <right style="thin">
        <color rgb="FF1D9E75"/>
      </right>
      <top/>
      <bottom style="thin">
        <color rgb="FF1D9E75"/>
      </bottom>
      <diagonal/>
    </border>
    <border>
      <left/>
      <right style="thin">
        <color rgb="FF185FA5"/>
      </right>
      <top/>
      <bottom/>
      <diagonal/>
    </border>
    <border>
      <left/>
      <right style="thin">
        <color rgb="FF185FA5"/>
      </right>
      <top/>
      <bottom style="thin">
        <color rgb="FF185FA5"/>
      </bottom>
      <diagonal/>
    </border>
    <border>
      <left/>
      <right style="thin">
        <color rgb="FF7F77DD"/>
      </right>
      <top/>
      <bottom/>
      <diagonal/>
    </border>
    <border>
      <left/>
      <right/>
      <top/>
      <bottom style="thin">
        <color rgb="FF7F77DD"/>
      </bottom>
      <diagonal/>
    </border>
    <border>
      <left/>
      <right style="thin">
        <color rgb="FF7F77DD"/>
      </right>
      <top/>
      <bottom style="thin">
        <color rgb="FF7F77DD"/>
      </bottom>
      <diagonal/>
    </border>
    <border>
      <left/>
      <right style="thin">
        <color rgb="FF3B6D11"/>
      </right>
      <top/>
      <bottom/>
      <diagonal/>
    </border>
    <border>
      <left/>
      <right/>
      <top/>
      <bottom style="thin">
        <color rgb="FF3B6D11"/>
      </bottom>
      <diagonal/>
    </border>
    <border>
      <left/>
      <right style="thin">
        <color rgb="FF3B6D11"/>
      </right>
      <top/>
      <bottom style="thin">
        <color rgb="FF3B6D11"/>
      </bottom>
      <diagonal/>
    </border>
    <border>
      <left/>
      <right style="thin">
        <color rgb="FF993556"/>
      </right>
      <top/>
      <bottom/>
      <diagonal/>
    </border>
    <border>
      <left/>
      <right/>
      <top/>
      <bottom style="thin">
        <color rgb="FF993556"/>
      </bottom>
      <diagonal/>
    </border>
    <border>
      <left/>
      <right style="thin">
        <color rgb="FF993556"/>
      </right>
      <top/>
      <bottom style="thin">
        <color rgb="FF993556"/>
      </bottom>
      <diagonal/>
    </border>
    <border>
      <left/>
      <right/>
      <top style="thin">
        <color rgb="FF3B6D11"/>
      </top>
      <bottom/>
      <diagonal/>
    </border>
    <border>
      <left/>
      <right style="thin">
        <color rgb="FF3B6D11"/>
      </right>
      <top style="thin">
        <color rgb="FF3B6D11"/>
      </top>
      <bottom/>
      <diagonal/>
    </border>
    <border>
      <left/>
      <right/>
      <top style="thin">
        <color rgb="FF3B6D11"/>
      </top>
      <bottom style="thin">
        <color rgb="FF3B6D11"/>
      </bottom>
      <diagonal/>
    </border>
    <border>
      <left/>
      <right/>
      <top style="thin">
        <color rgb="FFBA7517"/>
      </top>
      <bottom/>
      <diagonal/>
    </border>
    <border>
      <left/>
      <right style="thin">
        <color rgb="FFBA7517"/>
      </right>
      <top style="thin">
        <color rgb="FFBA7517"/>
      </top>
      <bottom/>
      <diagonal/>
    </border>
    <border>
      <left/>
      <right/>
      <top style="thin">
        <color rgb="FFBA7517"/>
      </top>
      <bottom style="thin">
        <color rgb="FFBA7517"/>
      </bottom>
      <diagonal/>
    </border>
    <border>
      <left/>
      <right style="thin">
        <color rgb="FFBA7517"/>
      </right>
      <top style="thin">
        <color rgb="FFBA7517"/>
      </top>
      <bottom style="thin">
        <color rgb="FFBA7517"/>
      </bottom>
      <diagonal/>
    </border>
    <border>
      <left/>
      <right/>
      <top style="thin">
        <color rgb="FF1D9E75"/>
      </top>
      <bottom/>
      <diagonal/>
    </border>
    <border>
      <left/>
      <right style="thin">
        <color rgb="FF1D9E75"/>
      </right>
      <top style="thin">
        <color rgb="FF1D9E75"/>
      </top>
      <bottom/>
      <diagonal/>
    </border>
    <border>
      <left/>
      <right/>
      <top style="thin">
        <color rgb="FF1D9E75"/>
      </top>
      <bottom style="thin">
        <color rgb="FF1D9E75"/>
      </bottom>
      <diagonal/>
    </border>
    <border>
      <left/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/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7F77DD"/>
      </top>
      <bottom/>
      <diagonal/>
    </border>
    <border>
      <left/>
      <right style="thin">
        <color rgb="FF7F77DD"/>
      </right>
      <top style="thin">
        <color rgb="FF7F77DD"/>
      </top>
      <bottom/>
      <diagonal/>
    </border>
    <border>
      <left/>
      <right style="thin">
        <color rgb="FF7F77DD"/>
      </right>
      <top style="thin">
        <color rgb="FF7F77DD"/>
      </top>
      <bottom style="thin">
        <color rgb="FF7F77DD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2" borderId="7" applyAlignment="1" pivotButton="0" quotePrefix="0" xfId="0">
      <alignment horizontal="center" vertical="center" wrapText="1"/>
    </xf>
    <xf numFmtId="0" fontId="13" fillId="13" borderId="7" applyAlignment="1" pivotButton="0" quotePrefix="0" xfId="0">
      <alignment horizontal="center" vertical="center" wrapText="1"/>
    </xf>
    <xf numFmtId="0" fontId="13" fillId="14" borderId="7" applyAlignment="1" pivotButton="0" quotePrefix="0" xfId="0">
      <alignment horizontal="center" vertical="center" wrapText="1"/>
    </xf>
    <xf numFmtId="0" fontId="13" fillId="15" borderId="7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5" fillId="11" borderId="7" applyAlignment="1" pivotButton="0" quotePrefix="0" xfId="0">
      <alignment horizontal="center" vertical="center" wrapText="1"/>
    </xf>
    <xf numFmtId="0" fontId="15" fillId="14" borderId="7" applyAlignment="1" pivotButton="0" quotePrefix="0" xfId="0">
      <alignment horizontal="center" vertical="center" wrapText="1"/>
    </xf>
    <xf numFmtId="0" fontId="15" fillId="13" borderId="7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9" fontId="5" fillId="5" borderId="5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0" fillId="1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14" borderId="5" applyAlignment="1" pivotButton="0" quotePrefix="0" xfId="0">
      <alignment horizontal="center" vertical="center"/>
    </xf>
    <xf numFmtId="0" fontId="15" fillId="11" borderId="3" applyAlignment="1" pivotButton="0" quotePrefix="0" xfId="0">
      <alignment horizontal="center" vertical="center"/>
    </xf>
    <xf numFmtId="0" fontId="15" fillId="13" borderId="4" applyAlignment="1" pivotButton="0" quotePrefix="0" xfId="0">
      <alignment horizontal="center" vertical="center"/>
    </xf>
    <xf numFmtId="0" fontId="0" fillId="11" borderId="3" pivotButton="0" quotePrefix="0" xfId="0"/>
    <xf numFmtId="0" fontId="19" fillId="16" borderId="8" applyAlignment="1" pivotButton="0" quotePrefix="0" xfId="0">
      <alignment horizontal="center" vertical="center"/>
    </xf>
    <xf numFmtId="0" fontId="19" fillId="15" borderId="6" applyAlignment="1" pivotButton="0" quotePrefix="0" xfId="0">
      <alignment horizontal="center" vertical="center"/>
    </xf>
    <xf numFmtId="0" fontId="18" fillId="16" borderId="8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36" fillId="6" borderId="1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0" fontId="0" fillId="16" borderId="8" pivotButton="0" quotePrefix="0" xfId="0"/>
    <xf numFmtId="0" fontId="35" fillId="7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0" fontId="0" fillId="15" borderId="6" pivotButton="0" quotePrefix="0" xfId="0"/>
    <xf numFmtId="0" fontId="19" fillId="11" borderId="3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2" fillId="18" borderId="0" applyAlignment="1" pivotButton="0" quotePrefix="0" xfId="0">
      <alignment horizontal="center" vertical="center"/>
    </xf>
    <xf numFmtId="0" fontId="13" fillId="18" borderId="7" applyAlignment="1" pivotButton="0" quotePrefix="0" xfId="0">
      <alignment horizontal="center" vertical="center" wrapText="1"/>
    </xf>
    <xf numFmtId="0" fontId="0" fillId="18" borderId="0" pivotButton="0" quotePrefix="0" xfId="0"/>
    <xf numFmtId="0" fontId="15" fillId="18" borderId="7" applyAlignment="1" pivotButton="0" quotePrefix="0" xfId="0">
      <alignment horizontal="center" vertical="center" wrapText="1"/>
    </xf>
    <xf numFmtId="0" fontId="12" fillId="18" borderId="9" applyAlignment="1" pivotButton="0" quotePrefix="0" xfId="0">
      <alignment horizontal="center" vertical="center"/>
    </xf>
    <xf numFmtId="0" fontId="0" fillId="18" borderId="9" pivotButton="0" quotePrefix="0" xfId="0"/>
    <xf numFmtId="0" fontId="13" fillId="18" borderId="11" applyAlignment="1" pivotButton="0" quotePrefix="0" xfId="0">
      <alignment horizontal="center" vertical="center" wrapText="1"/>
    </xf>
    <xf numFmtId="0" fontId="13" fillId="18" borderId="10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 wrapText="1"/>
    </xf>
    <xf numFmtId="0" fontId="13" fillId="18" borderId="12" applyAlignment="1" pivotButton="0" quotePrefix="0" xfId="0">
      <alignment horizontal="center" vertical="center" wrapText="1"/>
    </xf>
    <xf numFmtId="0" fontId="13" fillId="18" borderId="14" applyAlignment="1" pivotButton="0" quotePrefix="0" xfId="0">
      <alignment horizontal="center" vertical="center" wrapText="1"/>
    </xf>
    <xf numFmtId="0" fontId="13" fillId="18" borderId="15" applyAlignment="1" pivotButton="0" quotePrefix="0" xfId="0">
      <alignment horizontal="center" vertical="center" wrapText="1"/>
    </xf>
    <xf numFmtId="0" fontId="18" fillId="14" borderId="16" applyAlignment="1" pivotButton="0" quotePrefix="0" xfId="0">
      <alignment horizontal="center" vertical="center"/>
    </xf>
    <xf numFmtId="0" fontId="19" fillId="14" borderId="16" applyAlignment="1" pivotButton="0" quotePrefix="0" xfId="0">
      <alignment horizontal="center" vertical="center"/>
    </xf>
    <xf numFmtId="0" fontId="0" fillId="14" borderId="16" pivotButton="0" quotePrefix="0" xfId="0"/>
    <xf numFmtId="0" fontId="18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9" fillId="18" borderId="0" applyAlignment="1" pivotButton="0" quotePrefix="0" xfId="0">
      <alignment horizontal="center" vertical="center"/>
    </xf>
    <xf numFmtId="0" fontId="21" fillId="8" borderId="13" applyAlignment="1" pivotButton="0" quotePrefix="0" xfId="0">
      <alignment horizontal="center" vertical="center" wrapText="1"/>
    </xf>
    <xf numFmtId="0" fontId="23" fillId="17" borderId="13" applyAlignment="1" pivotButton="0" quotePrefix="0" xfId="0">
      <alignment horizontal="center" vertical="center" wrapText="1"/>
    </xf>
    <xf numFmtId="0" fontId="25" fillId="6" borderId="13" applyAlignment="1" pivotButton="0" quotePrefix="0" xfId="0">
      <alignment horizontal="center" vertical="center" wrapText="1"/>
    </xf>
    <xf numFmtId="0" fontId="27" fillId="5" borderId="13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31" fillId="7" borderId="13" applyAlignment="1" pivotButton="0" quotePrefix="0" xfId="0">
      <alignment horizontal="center" vertical="center" wrapText="1"/>
    </xf>
    <xf numFmtId="0" fontId="33" fillId="3" borderId="13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/>
    </xf>
    <xf numFmtId="0" fontId="8" fillId="7" borderId="13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9" fillId="8" borderId="13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13" fillId="16" borderId="17" applyAlignment="1" pivotButton="0" quotePrefix="0" xfId="0">
      <alignment horizontal="center" vertical="center"/>
    </xf>
    <xf numFmtId="0" fontId="13" fillId="18" borderId="18" applyAlignment="1" pivotButton="0" quotePrefix="0" xfId="0">
      <alignment horizontal="center" vertical="center" wrapText="1"/>
    </xf>
    <xf numFmtId="0" fontId="13" fillId="18" borderId="19" applyAlignment="1" pivotButton="0" quotePrefix="0" xfId="0">
      <alignment horizontal="center" vertical="center" wrapText="1"/>
    </xf>
    <xf numFmtId="0" fontId="17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9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9" fontId="5" fillId="5" borderId="16" applyAlignment="1" pivotButton="0" quotePrefix="0" xfId="0">
      <alignment horizontal="center" vertical="center"/>
    </xf>
    <xf numFmtId="0" fontId="13" fillId="18" borderId="0" applyAlignment="1" pivotButton="0" quotePrefix="0" xfId="0">
      <alignment horizontal="center" vertical="center"/>
    </xf>
    <xf numFmtId="0" fontId="13" fillId="18" borderId="20" applyAlignment="1" pivotButton="0" quotePrefix="0" xfId="0">
      <alignment horizontal="center" vertical="center"/>
    </xf>
    <xf numFmtId="0" fontId="13" fillId="11" borderId="21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13" fillId="13" borderId="23" applyAlignment="1" pivotButton="0" quotePrefix="0" xfId="0">
      <alignment horizontal="center" vertical="center"/>
    </xf>
    <xf numFmtId="0" fontId="13" fillId="14" borderId="24" applyAlignment="1" pivotButton="0" quotePrefix="0" xfId="0">
      <alignment horizontal="center" vertical="center"/>
    </xf>
    <xf numFmtId="0" fontId="13" fillId="15" borderId="25" applyAlignment="1" pivotButton="0" quotePrefix="0" xfId="0">
      <alignment horizontal="center" vertical="center"/>
    </xf>
    <xf numFmtId="0" fontId="12" fillId="18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wrapText="1"/>
    </xf>
    <xf numFmtId="0" fontId="41" fillId="19" borderId="2" applyAlignment="1" pivotButton="0" quotePrefix="0" xfId="0">
      <alignment horizontal="left" vertical="center"/>
    </xf>
    <xf numFmtId="0" fontId="42" fillId="19" borderId="0" pivotButton="0" quotePrefix="0" xfId="0"/>
    <xf numFmtId="0" fontId="43" fillId="19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7" pivotButton="0" quotePrefix="0" xfId="0"/>
    <xf numFmtId="0" fontId="0" fillId="0" borderId="48" pivotButton="0" quotePrefix="0" xfId="0"/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4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0" fillId="0" borderId="60" pivotButton="0" quotePrefix="0" xfId="0"/>
    <xf numFmtId="0" fontId="0" fillId="0" borderId="61" pivotButton="0" quotePrefix="0" xfId="0"/>
    <xf numFmtId="0" fontId="0" fillId="0" borderId="57" pivotButton="0" quotePrefix="0" xfId="0"/>
    <xf numFmtId="0" fontId="0" fillId="0" borderId="16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8" pivotButton="0" quotePrefix="0" xfId="0"/>
    <xf numFmtId="0" fontId="0" fillId="0" borderId="71" pivotButton="0" quotePrefix="0" xfId="0"/>
    <xf numFmtId="0" fontId="39" fillId="19" borderId="0" applyAlignment="1" pivotButton="0" quotePrefix="0" xfId="0">
      <alignment wrapText="1"/>
    </xf>
    <xf numFmtId="0" fontId="0" fillId="0" borderId="9" pivotButton="0" quotePrefix="0" xfId="0"/>
    <xf numFmtId="0" fontId="4" fillId="2" borderId="13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C33" sqref="C33"/>
    </sheetView>
  </sheetViews>
  <sheetFormatPr baseColWidth="10" defaultColWidth="8.83203125" defaultRowHeight="15"/>
  <cols>
    <col width="26" customWidth="1" style="36" min="1" max="2"/>
    <col width="30" customWidth="1" style="36" min="3" max="4"/>
    <col width="20" customWidth="1" style="36" min="5" max="8"/>
  </cols>
  <sheetData>
    <row r="1" ht="60" customHeight="1" s="36">
      <c r="A1" s="63" t="inlineStr">
        <is>
          <t>MATRIZ DE TRAZABILIDAD DE REQUISITOS</t>
        </is>
      </c>
    </row>
    <row r="2" ht="24" customHeight="1" s="36">
      <c r="A2" s="118" t="inlineStr">
        <is>
          <t>Plantilla estándar para proyectos de desarrollo de software · Versión 1.0</t>
        </is>
      </c>
    </row>
    <row r="3" ht="6" customHeight="1" s="36"/>
    <row r="4">
      <c r="A4" s="37" t="inlineStr">
        <is>
          <t>¿QUÉ ES ESTA PLANTILLA?</t>
        </is>
      </c>
      <c r="B4" s="119" t="n"/>
      <c r="C4" s="119" t="n"/>
      <c r="D4" s="119" t="n"/>
      <c r="E4" s="119" t="n"/>
      <c r="F4" s="119" t="n"/>
      <c r="G4" s="119" t="n"/>
      <c r="H4" s="120" t="n"/>
    </row>
    <row r="5">
      <c r="A5" s="38" t="inlineStr">
        <is>
      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      </is>
      </c>
      <c r="B5" s="121" t="n"/>
      <c r="C5" s="121" t="n"/>
      <c r="D5" s="121" t="n"/>
      <c r="E5" s="121" t="n"/>
      <c r="F5" s="121" t="n"/>
      <c r="G5" s="121" t="n"/>
      <c r="H5" s="122" t="n"/>
    </row>
    <row r="6">
      <c r="A6" s="123" t="n"/>
      <c r="H6" s="124" t="n"/>
    </row>
    <row r="7">
      <c r="A7" s="123" t="n"/>
      <c r="H7" s="124" t="n"/>
    </row>
    <row r="8">
      <c r="A8" s="125" t="n"/>
      <c r="B8" s="126" t="n"/>
      <c r="C8" s="126" t="n"/>
      <c r="D8" s="126" t="n"/>
      <c r="E8" s="126" t="n"/>
      <c r="F8" s="126" t="n"/>
      <c r="G8" s="126" t="n"/>
      <c r="H8" s="127" t="n"/>
    </row>
    <row r="9">
      <c r="A9" s="37" t="inlineStr">
        <is>
          <t>ESTRUCTURA DE LA PLANTILLA</t>
        </is>
      </c>
      <c r="B9" s="119" t="n"/>
      <c r="C9" s="119" t="n"/>
      <c r="D9" s="119" t="n"/>
      <c r="E9" s="119" t="n"/>
      <c r="F9" s="119" t="n"/>
      <c r="G9" s="119" t="n"/>
      <c r="H9" s="120" t="n"/>
    </row>
    <row r="10" ht="22" customHeight="1" s="36">
      <c r="A10" s="116" t="inlineStr">
        <is>
          <t>📋 Matriz principal</t>
        </is>
      </c>
      <c r="B10" s="128" t="n"/>
      <c r="C10" s="38" t="inlineStr">
        <is>
          <t>Hoja central. Cada fila es un requisito. Registra origen, especificación, pruebas, estado y RFC asociada.</t>
        </is>
      </c>
      <c r="D10" s="119" t="n"/>
      <c r="E10" s="119" t="n"/>
      <c r="F10" s="119" t="n"/>
      <c r="G10" s="119" t="n"/>
      <c r="H10" s="120" t="n"/>
    </row>
    <row r="11" ht="22" customHeight="1" s="36">
      <c r="A11" s="116" t="inlineStr">
        <is>
          <t>🔗 Trazabilidad visual</t>
        </is>
      </c>
      <c r="B11" s="128" t="n"/>
      <c r="C11" s="38" t="inlineStr">
        <is>
          <t>Vista cruzada (requisitos × artefactos). Un ✓ en cada celda indica que el artefacto cubre ese requisito.</t>
        </is>
      </c>
      <c r="D11" s="119" t="n"/>
      <c r="E11" s="119" t="n"/>
      <c r="F11" s="119" t="n"/>
      <c r="G11" s="119" t="n"/>
      <c r="H11" s="120" t="n"/>
    </row>
    <row r="12" ht="22" customHeight="1" s="36">
      <c r="A12" s="116" t="inlineStr">
        <is>
          <t>📊 Resumen y métricas</t>
        </is>
      </c>
      <c r="B12" s="128" t="n"/>
      <c r="C12" s="38" t="inlineStr">
        <is>
          <t>Dashboard automático: % de cobertura, requisitos sin prueba, cambios pendientes y semáforo de salud.</t>
        </is>
      </c>
      <c r="D12" s="119" t="n"/>
      <c r="E12" s="119" t="n"/>
      <c r="F12" s="119" t="n"/>
      <c r="G12" s="119" t="n"/>
      <c r="H12" s="120" t="n"/>
    </row>
    <row r="13" ht="22" customHeight="1" s="36">
      <c r="A13" s="116" t="inlineStr">
        <is>
          <t>📝 Registro de RFCs</t>
        </is>
      </c>
      <c r="B13" s="128" t="n"/>
      <c r="C13" s="38" t="inlineStr">
        <is>
          <t>Historial de todas las Solicitudes de Cambio procesadas, con estado y artefactos impactados.</t>
        </is>
      </c>
      <c r="D13" s="119" t="n"/>
      <c r="E13" s="119" t="n"/>
      <c r="F13" s="119" t="n"/>
      <c r="G13" s="119" t="n"/>
      <c r="H13" s="120" t="n"/>
    </row>
    <row r="14" ht="22" customHeight="1" s="36">
      <c r="A14" s="116" t="inlineStr">
        <is>
          <t>🗂️ Catálogo de artefactos</t>
        </is>
      </c>
      <c r="B14" s="128" t="n"/>
      <c r="C14" s="38" t="inlineStr">
        <is>
          <t>Inventario de todos los documentos, módulos de código y casos de prueba referenciados en la matriz.</t>
        </is>
      </c>
      <c r="D14" s="119" t="n"/>
      <c r="E14" s="119" t="n"/>
      <c r="F14" s="119" t="n"/>
      <c r="G14" s="119" t="n"/>
      <c r="H14" s="120" t="n"/>
    </row>
    <row r="15" ht="8" customHeight="1" s="36"/>
    <row r="16">
      <c r="A16" s="40" t="inlineStr">
        <is>
          <t>GUÍA DE COLORES Y ESTADOS</t>
        </is>
      </c>
      <c r="B16" s="119" t="n"/>
      <c r="C16" s="119" t="n"/>
      <c r="D16" s="119" t="n"/>
      <c r="E16" s="119" t="n"/>
      <c r="F16" s="119" t="n"/>
      <c r="G16" s="119" t="n"/>
      <c r="H16" s="120" t="n"/>
    </row>
    <row r="17" ht="20" customHeight="1" s="36">
      <c r="A17" s="42" t="inlineStr">
        <is>
          <t>Activo / Aprobado / Completado</t>
        </is>
      </c>
      <c r="B17" s="119" t="n"/>
      <c r="C17" s="120" t="n"/>
      <c r="D17" s="39" t="inlineStr">
        <is>
          <t>El requisito o artefacto está en uso y verificado.</t>
        </is>
      </c>
      <c r="E17" s="119" t="n"/>
      <c r="F17" s="119" t="n"/>
      <c r="G17" s="119" t="n"/>
      <c r="H17" s="120" t="n"/>
    </row>
    <row r="18" ht="20" customHeight="1" s="36">
      <c r="A18" s="45" t="inlineStr">
        <is>
          <t>En desarrollo / Pendiente de revisión</t>
        </is>
      </c>
      <c r="B18" s="119" t="n"/>
      <c r="C18" s="120" t="n"/>
      <c r="D18" s="39" t="inlineStr">
        <is>
          <t>Trabajo en curso. Requiere seguimiento.</t>
        </is>
      </c>
      <c r="E18" s="119" t="n"/>
      <c r="F18" s="119" t="n"/>
      <c r="G18" s="119" t="n"/>
      <c r="H18" s="120" t="n"/>
    </row>
    <row r="19" ht="20" customHeight="1" s="36">
      <c r="A19" s="44" t="inlineStr">
        <is>
          <t>Rechazado / Bloqueado / Sin cobertura</t>
        </is>
      </c>
      <c r="B19" s="119" t="n"/>
      <c r="C19" s="120" t="n"/>
      <c r="D19" s="39" t="inlineStr">
        <is>
          <t>Requiere acción inmediata. No puede cerrarse el ciclo.</t>
        </is>
      </c>
      <c r="E19" s="119" t="n"/>
      <c r="F19" s="119" t="n"/>
      <c r="G19" s="119" t="n"/>
      <c r="H19" s="120" t="n"/>
    </row>
    <row r="20" ht="20" customHeight="1" s="36">
      <c r="A20" s="43" t="inlineStr">
        <is>
          <t>Propuesto / En análisis</t>
        </is>
      </c>
      <c r="B20" s="119" t="n"/>
      <c r="C20" s="120" t="n"/>
      <c r="D20" s="39" t="inlineStr">
        <is>
          <t>RFC o requisito recién ingresado, aún no evaluado.</t>
        </is>
      </c>
      <c r="E20" s="119" t="n"/>
      <c r="F20" s="119" t="n"/>
      <c r="G20" s="119" t="n"/>
      <c r="H20" s="120" t="n"/>
    </row>
    <row r="21" ht="20" customHeight="1" s="36">
      <c r="A21" s="46" t="inlineStr">
        <is>
          <t>Aplazado / En espera de decisión</t>
        </is>
      </c>
      <c r="B21" s="119" t="n"/>
      <c r="C21" s="120" t="n"/>
      <c r="D21" s="39" t="inlineStr">
        <is>
          <t>El CCB ha pospuesto la decisión a una iteración futura.</t>
        </is>
      </c>
      <c r="E21" s="119" t="n"/>
      <c r="F21" s="119" t="n"/>
      <c r="G21" s="119" t="n"/>
      <c r="H21" s="120" t="n"/>
    </row>
    <row r="22" ht="20" customHeight="1" s="36">
      <c r="A22" s="41" t="inlineStr">
        <is>
          <t>Archivado / Fuera de alcance</t>
        </is>
      </c>
      <c r="B22" s="119" t="n"/>
      <c r="C22" s="120" t="n"/>
      <c r="D22" s="39" t="inlineStr">
        <is>
          <t>No aplica al sprint actual. Conservado por trazabilidad histórica.</t>
        </is>
      </c>
      <c r="E22" s="119" t="n"/>
      <c r="F22" s="119" t="n"/>
      <c r="G22" s="119" t="n"/>
      <c r="H22" s="120" t="n"/>
    </row>
    <row r="23" ht="8" customHeight="1" s="36"/>
    <row r="24">
      <c r="A24" s="40" t="inlineStr">
        <is>
          <t>FLUJO DE TRABAJO RECOMENDADO</t>
        </is>
      </c>
      <c r="B24" s="119" t="n"/>
      <c r="C24" s="119" t="n"/>
      <c r="D24" s="119" t="n"/>
      <c r="E24" s="119" t="n"/>
      <c r="F24" s="119" t="n"/>
      <c r="G24" s="119" t="n"/>
      <c r="H24" s="120" t="n"/>
    </row>
    <row r="25" ht="20" customHeight="1" s="36">
      <c r="A25" s="115" t="inlineStr">
        <is>
          <t>1. Al iniciar el proyecto, registra todas las necesidades de negocio en la columna 'ID Necesidad' de la Matriz principal.</t>
        </is>
      </c>
      <c r="B25" s="119" t="n"/>
      <c r="C25" s="119" t="n"/>
      <c r="D25" s="119" t="n"/>
      <c r="E25" s="119" t="n"/>
      <c r="F25" s="119" t="n"/>
      <c r="G25" s="119" t="n"/>
      <c r="H25" s="120" t="n"/>
    </row>
    <row r="26" ht="20" customHeight="1" s="36">
      <c r="A26" s="38" t="inlineStr">
        <is>
          <t>2. Para cada necesidad, crea al menos un requisito en la hoja Matriz principal. Completa todas las columnas.</t>
        </is>
      </c>
      <c r="B26" s="119" t="n"/>
      <c r="C26" s="119" t="n"/>
      <c r="D26" s="119" t="n"/>
      <c r="E26" s="119" t="n"/>
      <c r="F26" s="119" t="n"/>
      <c r="G26" s="119" t="n"/>
      <c r="H26" s="120" t="n"/>
    </row>
    <row r="27" ht="20" customHeight="1" s="36">
      <c r="A27" s="115" t="inlineStr">
        <is>
          <t>3. A medida que avanza el desarrollo, actualiza 'ID Código', 'ID Caso de prueba' y 'Resultado prueba'.</t>
        </is>
      </c>
      <c r="B27" s="119" t="n"/>
      <c r="C27" s="119" t="n"/>
      <c r="D27" s="119" t="n"/>
      <c r="E27" s="119" t="n"/>
      <c r="F27" s="119" t="n"/>
      <c r="G27" s="119" t="n"/>
      <c r="H27" s="120" t="n"/>
    </row>
    <row r="28" ht="20" customHeight="1" s="36">
      <c r="A28" s="38" t="inlineStr">
        <is>
          <t>4. Cuando llegue una RFC, regístrala en la hoja 'Registro de RFCs' y actualiza las filas afectadas en la Matriz principal.</t>
        </is>
      </c>
      <c r="B28" s="119" t="n"/>
      <c r="C28" s="119" t="n"/>
      <c r="D28" s="119" t="n"/>
      <c r="E28" s="119" t="n"/>
      <c r="F28" s="119" t="n"/>
      <c r="G28" s="119" t="n"/>
      <c r="H28" s="120" t="n"/>
    </row>
    <row r="29" ht="20" customHeight="1" s="36">
      <c r="A29" s="115" t="inlineStr">
        <is>
          <t>5. Usa la hoja 'Trazabilidad visual' para detectar requisitos sin cobertura (celdas vacías en columnas de artefactos).</t>
        </is>
      </c>
      <c r="B29" s="119" t="n"/>
      <c r="C29" s="119" t="n"/>
      <c r="D29" s="119" t="n"/>
      <c r="E29" s="119" t="n"/>
      <c r="F29" s="119" t="n"/>
      <c r="G29" s="119" t="n"/>
      <c r="H29" s="120" t="n"/>
    </row>
    <row r="30" ht="20" customHeight="1" s="36">
      <c r="A30" s="38" t="inlineStr">
        <is>
          <t>6. Revisa el 'Resumen y métricas' antes de cada reunión del CCB o revisión de sprint.</t>
        </is>
      </c>
      <c r="B30" s="119" t="n"/>
      <c r="C30" s="119" t="n"/>
      <c r="D30" s="119" t="n"/>
      <c r="E30" s="119" t="n"/>
      <c r="F30" s="119" t="n"/>
      <c r="G30" s="119" t="n"/>
      <c r="H30" s="120" t="n"/>
    </row>
    <row r="31" ht="20" customHeight="1" s="36">
      <c r="A31" s="115" t="inlineStr">
        <is>
          <t>7. Al cerrar el proyecto, archiva la matriz completa junto con el SRS y el informe de lecciones aprendidas.</t>
        </is>
      </c>
      <c r="B31" s="119" t="n"/>
      <c r="C31" s="119" t="n"/>
      <c r="D31" s="119" t="n"/>
      <c r="E31" s="119" t="n"/>
      <c r="F31" s="119" t="n"/>
      <c r="G31" s="119" t="n"/>
      <c r="H31" s="120" t="n"/>
    </row>
    <row r="33">
      <c r="A33" t="inlineStr">
        <is>
          <t>Adaptación realizada</t>
        </is>
      </c>
    </row>
    <row r="34" ht="45" customHeight="1" s="36">
      <c r="A34" s="129" t="inlineStr">
        <is>
          <t>Esta versión está diligenciada para el caso Dietas al Día usando EPC 28 y los criterios CA1–CA4 suministrados. No se inventan casos de prueba ni resultados de ejecución.</t>
        </is>
      </c>
    </row>
  </sheetData>
  <mergeCells count="36">
    <mergeCell ref="A9:H9"/>
    <mergeCell ref="C10:H10"/>
    <mergeCell ref="A30:H30"/>
    <mergeCell ref="D20:H20"/>
    <mergeCell ref="A24:H24"/>
    <mergeCell ref="A11:B11"/>
    <mergeCell ref="D19:H19"/>
    <mergeCell ref="A18:C18"/>
    <mergeCell ref="A21:C21"/>
    <mergeCell ref="A1:H1"/>
    <mergeCell ref="C12:H12"/>
    <mergeCell ref="D22:H22"/>
    <mergeCell ref="C11:H11"/>
    <mergeCell ref="D21:H21"/>
    <mergeCell ref="A25:H25"/>
    <mergeCell ref="A16:H16"/>
    <mergeCell ref="A22:C22"/>
    <mergeCell ref="A17:C17"/>
    <mergeCell ref="A5:H8"/>
    <mergeCell ref="A27:H27"/>
    <mergeCell ref="A20:C20"/>
    <mergeCell ref="D17:H17"/>
    <mergeCell ref="A12:B12"/>
    <mergeCell ref="A26:H26"/>
    <mergeCell ref="A19:C19"/>
    <mergeCell ref="C13:H13"/>
    <mergeCell ref="A2:H2"/>
    <mergeCell ref="A14:B14"/>
    <mergeCell ref="D18:H18"/>
    <mergeCell ref="A4:H4"/>
    <mergeCell ref="A29:H29"/>
    <mergeCell ref="C14:H14"/>
    <mergeCell ref="A10:B10"/>
    <mergeCell ref="A28:H28"/>
    <mergeCell ref="A13:B1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showGridLines="0"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5"/>
  <cols>
    <col width="14" customWidth="1" style="36" min="1" max="1"/>
    <col width="28" customWidth="1" style="36" min="2" max="2"/>
    <col width="15" customWidth="1" style="36" min="3" max="3"/>
    <col width="16" customWidth="1" style="36" min="4" max="4"/>
    <col width="28" customWidth="1" style="36" min="5" max="5"/>
    <col width="16" customWidth="1" style="36" min="6" max="6"/>
    <col width="16" customWidth="1" style="36" min="7" max="7"/>
    <col width="65" customWidth="1" style="36" min="8" max="8"/>
    <col width="22" customWidth="1" style="36" min="9" max="9"/>
    <col width="18" customWidth="1" style="36" min="10" max="10"/>
    <col width="22" customWidth="1" style="36" min="11" max="11"/>
    <col width="18" customWidth="1" style="36" min="12" max="14"/>
    <col width="18" customWidth="1" style="36" min="13" max="13"/>
    <col width="18" customWidth="1" style="36" min="14" max="14"/>
    <col width="22" customWidth="1" style="36" min="15" max="15"/>
    <col width="16" customWidth="1" style="36" min="16" max="16"/>
    <col width="18" customWidth="1" style="36" min="17" max="17"/>
    <col width="55" customWidth="1" style="36" min="18" max="18"/>
  </cols>
  <sheetData>
    <row r="1" ht="36" customHeight="1" s="36">
      <c r="A1" s="114" t="inlineStr">
        <is>
          <t>MATRIZ DE TRAZABILIDAD DE REQUISITOS — Dietas al Día</t>
        </is>
      </c>
    </row>
    <row r="2" ht="36" customHeight="1" s="36">
      <c r="A2" s="108" t="inlineStr">
        <is>
          <t>IDENTIFICACIÓN</t>
        </is>
      </c>
      <c r="B2" s="130" t="n"/>
      <c r="C2" s="131" t="n"/>
      <c r="D2" s="109" t="inlineStr">
        <is>
          <t>ORIGEN</t>
        </is>
      </c>
      <c r="E2" s="132" t="n"/>
      <c r="F2" s="133" t="n"/>
      <c r="G2" s="110" t="inlineStr">
        <is>
          <t>ESPECIFICACIÓN</t>
        </is>
      </c>
      <c r="H2" s="134" t="n"/>
      <c r="I2" s="111" t="inlineStr">
        <is>
          <t>IMPLEMENTACIÓN</t>
        </is>
      </c>
      <c r="J2" s="135" t="n"/>
      <c r="K2" s="136" t="n"/>
      <c r="L2" s="112" t="inlineStr">
        <is>
          <t>VERIFICACIÓN</t>
        </is>
      </c>
      <c r="M2" s="137" t="n"/>
      <c r="N2" s="138" t="n"/>
      <c r="O2" s="113" t="inlineStr">
        <is>
          <t>ESTADO Y CAMBIOS</t>
        </is>
      </c>
      <c r="P2" s="139" t="n"/>
      <c r="Q2" s="139" t="n"/>
      <c r="R2" s="140" t="n"/>
    </row>
    <row r="3" ht="75" customHeight="1" s="36">
      <c r="A3" s="66" t="inlineStr">
        <is>
          <t>ID Requisito</t>
        </is>
      </c>
      <c r="B3" s="66" t="inlineStr">
        <is>
          <t>Título del requisito</t>
        </is>
      </c>
      <c r="C3" s="66" t="inlineStr">
        <is>
          <t>Tipo</t>
        </is>
      </c>
      <c r="D3" s="3" t="inlineStr">
        <is>
          <t>ID Necesidad
de negocio</t>
        </is>
      </c>
      <c r="E3" s="3" t="inlineStr">
        <is>
          <t>Stakeholder
solicitante</t>
        </is>
      </c>
      <c r="F3" s="3" t="inlineStr">
        <is>
          <t>Prioridad
(MoSCoW)</t>
        </is>
      </c>
      <c r="G3" s="4" t="inlineStr">
        <is>
          <t>Versión
SRS</t>
        </is>
      </c>
      <c r="H3" s="4" t="inlineStr">
        <is>
          <t>Criterios de
aceptación (resumen)</t>
        </is>
      </c>
      <c r="I3" s="5" t="inlineStr">
        <is>
          <t>ID Módulo /
Código</t>
        </is>
      </c>
      <c r="J3" s="5" t="inlineStr">
        <is>
          <t>Sprint
implementación</t>
        </is>
      </c>
      <c r="K3" s="5" t="inlineStr">
        <is>
          <t>Responsable
desarrollo</t>
        </is>
      </c>
      <c r="L3" s="6" t="inlineStr">
        <is>
          <t>ID Caso de
prueba</t>
        </is>
      </c>
      <c r="M3" s="6" t="inlineStr">
        <is>
          <t>Resultado
prueba</t>
        </is>
      </c>
      <c r="N3" s="6" t="inlineStr">
        <is>
          <t>Fecha última
prueba</t>
        </is>
      </c>
      <c r="O3" s="7" t="inlineStr">
        <is>
          <t>Estado actual</t>
        </is>
      </c>
      <c r="P3" s="7" t="inlineStr">
        <is>
          <t>RFC asociada</t>
        </is>
      </c>
      <c r="Q3" s="7" t="inlineStr">
        <is>
          <t>Última
actualización</t>
        </is>
      </c>
      <c r="R3" s="7" t="inlineStr">
        <is>
          <t>Notas / Observaciones</t>
        </is>
      </c>
    </row>
    <row r="4" ht="100" customHeight="1" s="36">
      <c r="A4" s="8" t="inlineStr">
        <is>
          <t>EPC-28</t>
        </is>
      </c>
      <c r="B4" s="38" t="inlineStr">
        <is>
          <t>Asignación tratamiento nutricional</t>
        </is>
      </c>
      <c r="C4" s="9" t="inlineStr">
        <is>
          <t>Funcional</t>
        </is>
      </c>
      <c r="D4" s="38" t="inlineStr">
        <is>
          <t>NEG-DIA-01</t>
        </is>
      </c>
      <c r="E4" s="38" t="inlineStr">
        <is>
          <t>Médico del Departamento de Nutrición</t>
        </is>
      </c>
      <c r="F4" s="10" t="inlineStr">
        <is>
          <t>No especificada</t>
        </is>
      </c>
      <c r="G4" s="9" t="inlineStr">
        <is>
          <t>No especificada</t>
        </is>
      </c>
      <c r="H4" s="141" t="inlineStr">
        <is>
          <t>CA1: muestra dietas asociadas en un único paso. | CA2: alerta inequívoca si contiene alimento incompatible/alérgeno. | CA3: ficha técnica sin perder contexto del paciente. | CA4: selección segura en menos de 90 segundos sin omitir alertas.</t>
        </is>
      </c>
      <c r="I4" s="38" t="inlineStr">
        <is>
          <t>DIA-COD-001</t>
        </is>
      </c>
      <c r="J4" s="9" t="inlineStr">
        <is>
          <t>No especificado</t>
        </is>
      </c>
      <c r="K4" s="38" t="inlineStr">
        <is>
          <t>No especificado</t>
        </is>
      </c>
      <c r="L4" s="9" t="n"/>
      <c r="M4" s="142" t="inlineStr">
        <is>
          <t>No ejecutado</t>
        </is>
      </c>
      <c r="N4" s="9" t="n"/>
      <c r="O4" s="142" t="inlineStr">
        <is>
          <t>Pendiente de validación</t>
        </is>
      </c>
      <c r="P4" s="9" t="n"/>
      <c r="Q4" s="9" t="n"/>
      <c r="R4" s="141" t="inlineStr">
        <is>
          <t>Fuente primaria: EPC 28 y criterios de aceptación del documento de prototipado. No se realizaron casos de prueba formales; la evidencia disponible es el prototipo y el repositorio de código. NEG-DIA-01 es una identificación interna derivada para organizar la matriz.</t>
        </is>
      </c>
    </row>
    <row r="5" ht="24" customHeight="1" s="36">
      <c r="A5" s="12" t="n"/>
      <c r="B5" s="2" t="n"/>
      <c r="C5" s="13" t="n"/>
      <c r="D5" s="2" t="n"/>
      <c r="E5" s="2" t="n"/>
      <c r="F5" s="10" t="n"/>
      <c r="G5" s="13" t="n"/>
      <c r="H5" s="2" t="n"/>
      <c r="I5" s="2" t="n"/>
      <c r="J5" s="13" t="n"/>
      <c r="K5" s="2" t="n"/>
      <c r="L5" s="13" t="n"/>
      <c r="M5" s="11" t="n"/>
      <c r="N5" s="13" t="n"/>
      <c r="O5" s="11" t="n"/>
      <c r="P5" s="13" t="n"/>
      <c r="Q5" s="13" t="n"/>
      <c r="R5" s="2" t="n"/>
    </row>
    <row r="6" ht="45" customHeight="1" s="36">
      <c r="A6" s="8" t="inlineStr">
        <is>
          <t>Fuente documental</t>
        </is>
      </c>
      <c r="B6" s="143" t="inlineStr">
        <is>
          <t>Tarea_Prototipado(2).pdf — EPC 28 y CA1–CA4; Epicas(1).pdf — EPC 28.</t>
        </is>
      </c>
      <c r="C6" s="9" t="n"/>
      <c r="D6" s="38" t="n"/>
      <c r="E6" s="38" t="n"/>
      <c r="F6" s="10" t="n"/>
      <c r="G6" s="9" t="n"/>
      <c r="H6" s="38" t="n"/>
      <c r="I6" s="38" t="n"/>
      <c r="J6" s="9" t="n"/>
      <c r="K6" s="38" t="n"/>
      <c r="L6" s="9" t="n"/>
      <c r="M6" s="11" t="n"/>
      <c r="N6" s="9" t="n"/>
      <c r="O6" s="11" t="n"/>
      <c r="P6" s="9" t="n"/>
      <c r="Q6" s="9" t="n"/>
      <c r="R6" s="38" t="n"/>
    </row>
    <row r="7" ht="55" customHeight="1" s="36">
      <c r="A7" s="12" t="inlineStr">
        <is>
          <t>Limitación de verificación</t>
        </is>
      </c>
      <c r="B7" s="144" t="inlineStr">
        <is>
          <t>No se suministraron casos de prueba ni resultados de ejecución. Por ello no se marca el requisito como Verificado.</t>
        </is>
      </c>
      <c r="C7" s="13" t="n"/>
      <c r="D7" s="2" t="n"/>
      <c r="E7" s="2" t="n"/>
      <c r="F7" s="14" t="n"/>
      <c r="G7" s="13" t="n"/>
      <c r="H7" s="2" t="n"/>
      <c r="I7" s="2" t="n"/>
      <c r="J7" s="13" t="n"/>
      <c r="K7" s="2" t="n"/>
      <c r="L7" s="13" t="n"/>
      <c r="M7" s="11" t="n"/>
      <c r="N7" s="13" t="n"/>
      <c r="O7" s="11" t="n"/>
      <c r="P7" s="13" t="n"/>
      <c r="Q7" s="13" t="n"/>
      <c r="R7" s="2" t="n"/>
    </row>
    <row r="8" ht="24" customHeight="1" s="36">
      <c r="A8" s="8" t="n"/>
      <c r="B8" s="38" t="n"/>
      <c r="C8" s="9" t="n"/>
      <c r="D8" s="38" t="n"/>
      <c r="E8" s="38" t="n"/>
      <c r="F8" s="10" t="n"/>
      <c r="G8" s="9" t="n"/>
      <c r="H8" s="38" t="n"/>
      <c r="I8" s="38" t="n"/>
      <c r="J8" s="9" t="n"/>
      <c r="K8" s="38" t="n"/>
      <c r="L8" s="9" t="n"/>
      <c r="M8" s="11" t="n"/>
      <c r="N8" s="9" t="n"/>
      <c r="O8" s="11" t="n"/>
      <c r="P8" s="9" t="n"/>
      <c r="Q8" s="9" t="n"/>
      <c r="R8" s="38" t="n"/>
    </row>
    <row r="9" ht="24" customHeight="1" s="36">
      <c r="A9" s="12" t="n"/>
      <c r="B9" s="2" t="n"/>
      <c r="C9" s="13" t="n"/>
      <c r="D9" s="2" t="n"/>
      <c r="E9" s="2" t="n"/>
      <c r="F9" s="10" t="n"/>
      <c r="G9" s="13" t="n"/>
      <c r="H9" s="2" t="n"/>
      <c r="I9" s="2" t="n"/>
      <c r="J9" s="13" t="n"/>
      <c r="K9" s="2" t="n"/>
      <c r="L9" s="13" t="n"/>
      <c r="M9" s="11" t="n"/>
      <c r="N9" s="13" t="n"/>
      <c r="O9" s="11" t="n"/>
      <c r="P9" s="13" t="n"/>
      <c r="Q9" s="13" t="n"/>
      <c r="R9" s="2" t="n"/>
    </row>
    <row r="10" ht="24" customHeight="1" s="36">
      <c r="A10" s="8" t="n"/>
      <c r="B10" s="38" t="n"/>
      <c r="C10" s="9" t="n"/>
      <c r="D10" s="38" t="n"/>
      <c r="E10" s="38" t="n"/>
      <c r="F10" s="14" t="n"/>
      <c r="G10" s="9" t="n"/>
      <c r="H10" s="38" t="n"/>
      <c r="I10" s="38" t="n"/>
      <c r="J10" s="9" t="n"/>
      <c r="K10" s="38" t="n"/>
      <c r="L10" s="9" t="n"/>
      <c r="M10" s="11" t="n"/>
      <c r="N10" s="9" t="n"/>
      <c r="O10" s="11" t="n"/>
      <c r="P10" s="9" t="n"/>
      <c r="Q10" s="9" t="n"/>
      <c r="R10" s="38" t="n"/>
    </row>
    <row r="11" ht="24" customHeight="1" s="36">
      <c r="A11" s="12" t="n"/>
      <c r="B11" s="2" t="n"/>
      <c r="C11" s="13" t="n"/>
      <c r="D11" s="2" t="n"/>
      <c r="E11" s="2" t="n"/>
      <c r="F11" s="14" t="n"/>
      <c r="G11" s="13" t="n"/>
      <c r="H11" s="2" t="n"/>
      <c r="I11" s="2" t="n"/>
      <c r="J11" s="13" t="n"/>
      <c r="K11" s="2" t="n"/>
      <c r="L11" s="13" t="n"/>
      <c r="M11" s="10" t="n"/>
      <c r="N11" s="13" t="n"/>
      <c r="O11" s="14" t="n"/>
      <c r="P11" s="13" t="n"/>
      <c r="Q11" s="13" t="n"/>
      <c r="R11" s="2" t="n"/>
    </row>
    <row r="12" ht="24" customHeight="1" s="36">
      <c r="A12" s="8" t="n"/>
      <c r="B12" s="38" t="n"/>
      <c r="C12" s="9" t="n"/>
      <c r="D12" s="38" t="n"/>
      <c r="E12" s="38" t="n"/>
      <c r="F12" s="10" t="n"/>
      <c r="G12" s="9" t="n"/>
      <c r="H12" s="38" t="n"/>
      <c r="I12" s="38" t="n"/>
      <c r="J12" s="9" t="n"/>
      <c r="K12" s="38" t="n"/>
      <c r="L12" s="9" t="n"/>
      <c r="M12" s="11" t="n"/>
      <c r="N12" s="9" t="n"/>
      <c r="O12" s="11" t="n"/>
      <c r="P12" s="9" t="n"/>
      <c r="Q12" s="9" t="n"/>
      <c r="R12" s="38" t="n"/>
    </row>
    <row r="13" ht="24" customHeight="1" s="36">
      <c r="A13" s="12" t="n"/>
      <c r="B13" s="2" t="n"/>
      <c r="C13" s="13" t="n"/>
      <c r="D13" s="2" t="n"/>
      <c r="E13" s="2" t="n"/>
      <c r="F13" s="15" t="n"/>
      <c r="G13" s="13" t="n"/>
      <c r="H13" s="2" t="n"/>
      <c r="I13" s="2" t="n"/>
      <c r="J13" s="13" t="n"/>
      <c r="K13" s="2" t="n"/>
      <c r="L13" s="13" t="n"/>
      <c r="M13" s="14" t="n"/>
      <c r="N13" s="13" t="n"/>
      <c r="O13" s="15" t="n"/>
      <c r="P13" s="13" t="n"/>
      <c r="Q13" s="13" t="n"/>
      <c r="R13" s="2" t="n"/>
    </row>
    <row r="14" ht="24" customHeight="1" s="36">
      <c r="A14" s="8" t="n"/>
      <c r="B14" s="38" t="n"/>
      <c r="C14" s="9" t="n"/>
      <c r="D14" s="38" t="n"/>
      <c r="E14" s="38" t="n"/>
      <c r="F14" s="10" t="n"/>
      <c r="G14" s="9" t="n"/>
      <c r="H14" s="38" t="n"/>
      <c r="I14" s="38" t="n"/>
      <c r="J14" s="9" t="n"/>
      <c r="K14" s="38" t="n"/>
      <c r="L14" s="9" t="n"/>
      <c r="M14" s="10" t="n"/>
      <c r="N14" s="9" t="n"/>
      <c r="O14" s="14" t="n"/>
      <c r="P14" s="9" t="n"/>
      <c r="Q14" s="9" t="n"/>
      <c r="R14" s="38" t="n"/>
    </row>
    <row r="15" ht="24" customHeight="1" s="36">
      <c r="A15" s="12" t="n"/>
      <c r="B15" s="2" t="n"/>
      <c r="C15" s="13" t="n"/>
      <c r="D15" s="2" t="n"/>
      <c r="E15" s="2" t="n"/>
      <c r="F15" s="10" t="n"/>
      <c r="G15" s="13" t="n"/>
      <c r="H15" s="2" t="n"/>
      <c r="I15" s="2" t="n"/>
      <c r="J15" s="13" t="n"/>
      <c r="K15" s="2" t="n"/>
      <c r="L15" s="13" t="n"/>
      <c r="M15" s="14" t="n"/>
      <c r="N15" s="13" t="n"/>
      <c r="O15" s="15" t="n"/>
      <c r="P15" s="13" t="n"/>
      <c r="Q15" s="13" t="n"/>
      <c r="R15" s="2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sqref="C4:C103" showDropDown="0" showInputMessage="0" showErrorMessage="0" allowBlank="1" type="list">
      <formula1>"Funcional,No funcional,Restricción,Interfaz,Rendimiento,Seguridad"</formula1>
    </dataValidation>
    <dataValidation sqref="F4:F103" showDropDown="0" showInputMessage="0" showErrorMessage="0" allowBlank="1" type="list">
      <formula1>"Must have,Should have,Could have,Won't have"</formula1>
    </dataValidation>
    <dataValidation sqref="M4:M103" showDropDown="0" showInputMessage="0" showErrorMessage="0" allowBlank="1" type="list">
      <formula1>"Pasado,Fallido,Bloqueado,Pendiente,N/A"</formula1>
    </dataValidation>
    <dataValidation sqref="O4:O103" showDropDown="0" showInputMessage="0" showErrorMessage="0" allowBlank="1" type="list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E20" sqref="E20"/>
    </sheetView>
  </sheetViews>
  <sheetFormatPr baseColWidth="10" defaultColWidth="8.83203125" defaultRowHeight="15"/>
  <cols>
    <col width="14" customWidth="1" style="36" min="1" max="1"/>
    <col width="32" customWidth="1" style="36" min="2" max="2"/>
    <col width="16" customWidth="1" style="36" min="3" max="14"/>
    <col width="16" customWidth="1" style="36" min="4" max="4"/>
    <col width="16" customWidth="1" style="36" min="5" max="5"/>
    <col width="16" customWidth="1" style="36" min="6" max="6"/>
    <col width="16" customWidth="1" style="36" min="7" max="7"/>
    <col width="14" customWidth="1" style="36" min="8" max="8"/>
    <col width="14" customWidth="1" style="36" min="9" max="9"/>
    <col width="14" customWidth="1" style="36" min="10" max="10"/>
    <col width="14" customWidth="1" style="36" min="11" max="11"/>
    <col width="18" customWidth="1" style="36" min="12" max="12"/>
    <col width="14" customWidth="1" style="36" min="13" max="13"/>
    <col width="14" customWidth="1" style="36" min="14" max="14"/>
  </cols>
  <sheetData>
    <row r="1" ht="36" customHeight="1" s="36">
      <c r="A1" s="114" t="inlineStr">
        <is>
          <t>TRAZABILIDAD VISUAL — Requisitos × Artefactos</t>
        </is>
      </c>
      <c r="N1" s="85" t="n"/>
    </row>
    <row r="2" ht="18" customHeight="1" s="36">
      <c r="A2" s="85" t="n"/>
      <c r="B2" s="85" t="n"/>
      <c r="C2" s="48" t="inlineStr">
        <is>
          <t>Necesidades</t>
        </is>
      </c>
      <c r="D2" s="145" t="n"/>
      <c r="E2" s="145" t="n"/>
      <c r="F2" s="146" t="n"/>
      <c r="G2" s="47" t="inlineStr">
        <is>
          <t>Casos de prueba</t>
        </is>
      </c>
      <c r="H2" s="147" t="n"/>
      <c r="I2" s="147" t="n"/>
      <c r="J2" s="147" t="n"/>
      <c r="K2" s="148" t="n"/>
      <c r="L2" s="49" t="inlineStr">
        <is>
          <t>Módulos código</t>
        </is>
      </c>
      <c r="M2" s="149" t="n"/>
      <c r="N2" s="150" t="n"/>
    </row>
    <row r="3" ht="72" customHeight="1" s="36">
      <c r="A3" s="68" t="inlineStr">
        <is>
          <t>ID Req.</t>
        </is>
      </c>
      <c r="B3" s="68" t="inlineStr">
        <is>
          <t>Título (abrev.)</t>
        </is>
      </c>
      <c r="C3" s="16" t="inlineStr">
        <is>
          <t>NEG-DIA-01</t>
        </is>
      </c>
      <c r="D3" s="16" t="n"/>
      <c r="E3" s="16" t="n"/>
      <c r="F3" s="16" t="n"/>
      <c r="G3" s="17" t="inlineStr">
        <is>
          <t>Sin TC</t>
        </is>
      </c>
      <c r="H3" s="17" t="n"/>
      <c r="I3" s="17" t="n"/>
      <c r="J3" s="17" t="n"/>
      <c r="K3" s="17" t="n"/>
      <c r="L3" s="18" t="inlineStr">
        <is>
          <t>DIA-COD-001</t>
        </is>
      </c>
      <c r="M3" s="18" t="n"/>
      <c r="N3" s="18" t="n"/>
    </row>
    <row r="4" ht="45" customHeight="1" s="36">
      <c r="A4" s="19" t="inlineStr">
        <is>
          <t>EPC-28</t>
        </is>
      </c>
      <c r="B4" s="20" t="inlineStr">
        <is>
          <t>Asignación tratamiento nutricional</t>
        </is>
      </c>
      <c r="C4" s="21" t="inlineStr">
        <is>
          <t>✓</t>
        </is>
      </c>
      <c r="D4" s="22" t="n"/>
      <c r="E4" s="22" t="n"/>
      <c r="F4" s="22" t="n"/>
      <c r="G4" s="21" t="n"/>
      <c r="H4" s="22" t="n"/>
      <c r="I4" s="22" t="n"/>
      <c r="J4" s="22" t="n"/>
      <c r="K4" s="22" t="n"/>
      <c r="L4" s="21" t="inlineStr">
        <is>
          <t>✓</t>
        </is>
      </c>
      <c r="M4" s="22" t="n"/>
      <c r="N4" s="22" t="n"/>
    </row>
    <row r="5" ht="20" customHeight="1" s="36">
      <c r="A5" s="19" t="n"/>
      <c r="B5" s="23" t="n"/>
      <c r="C5" s="21" t="n"/>
      <c r="D5" s="24" t="n"/>
      <c r="E5" s="24" t="n"/>
      <c r="F5" s="24" t="n"/>
      <c r="G5" s="24" t="n"/>
      <c r="H5" s="21" t="n"/>
      <c r="I5" s="24" t="n"/>
      <c r="J5" s="24" t="n"/>
      <c r="K5" s="24" t="n"/>
      <c r="L5" s="21" t="n"/>
      <c r="M5" s="24" t="n"/>
      <c r="N5" s="24" t="n"/>
    </row>
    <row r="6" ht="20" customHeight="1" s="36">
      <c r="A6" s="19" t="n"/>
      <c r="B6" s="20" t="n"/>
      <c r="C6" s="22" t="n"/>
      <c r="D6" s="21" t="n"/>
      <c r="E6" s="22" t="n"/>
      <c r="F6" s="22" t="n"/>
      <c r="G6" s="22" t="n"/>
      <c r="H6" s="22" t="n"/>
      <c r="I6" s="21" t="n"/>
      <c r="J6" s="22" t="n"/>
      <c r="K6" s="22" t="n"/>
      <c r="L6" s="21" t="n"/>
      <c r="M6" s="22" t="n"/>
      <c r="N6" s="22" t="n"/>
    </row>
    <row r="7" ht="20" customHeight="1" s="36">
      <c r="A7" s="19" t="n"/>
      <c r="B7" s="23" t="n"/>
      <c r="C7" s="24" t="n"/>
      <c r="D7" s="24" t="n"/>
      <c r="E7" s="24" t="n"/>
      <c r="F7" s="24" t="n"/>
      <c r="G7" s="24" t="n"/>
      <c r="H7" s="24" t="n"/>
      <c r="I7" s="24" t="n"/>
      <c r="J7" s="21" t="n"/>
      <c r="K7" s="24" t="n"/>
      <c r="L7" s="21" t="n"/>
      <c r="M7" s="24" t="n"/>
      <c r="N7" s="24" t="n"/>
    </row>
    <row r="8" ht="20" customHeight="1" s="36">
      <c r="A8" s="19" t="n"/>
      <c r="B8" s="20" t="n"/>
      <c r="C8" s="22" t="n"/>
      <c r="D8" s="21" t="n"/>
      <c r="E8" s="22" t="n"/>
      <c r="F8" s="22" t="n"/>
      <c r="G8" s="22" t="n"/>
      <c r="H8" s="22" t="n"/>
      <c r="I8" s="21" t="n"/>
      <c r="J8" s="22" t="n"/>
      <c r="K8" s="22" t="n"/>
      <c r="L8" s="21" t="n"/>
      <c r="M8" s="22" t="n"/>
      <c r="N8" s="22" t="n"/>
    </row>
    <row r="9" ht="20" customHeight="1" s="36">
      <c r="A9" s="19" t="n"/>
      <c r="B9" s="23" t="n"/>
      <c r="C9" s="24" t="n"/>
      <c r="D9" s="24" t="n"/>
      <c r="E9" s="21" t="n"/>
      <c r="F9" s="24" t="n"/>
      <c r="G9" s="24" t="n"/>
      <c r="H9" s="24" t="n"/>
      <c r="I9" s="24" t="n"/>
      <c r="J9" s="24" t="n"/>
      <c r="K9" s="21" t="n"/>
      <c r="L9" s="24" t="n"/>
      <c r="M9" s="21" t="n"/>
      <c r="N9" s="24" t="n"/>
    </row>
    <row r="10" ht="20" customHeight="1" s="36">
      <c r="A10" s="19" t="n"/>
      <c r="B10" s="20" t="n"/>
      <c r="C10" s="22" t="n"/>
      <c r="D10" s="22" t="n"/>
      <c r="E10" s="21" t="n"/>
      <c r="F10" s="22" t="n"/>
      <c r="G10" s="22" t="n"/>
      <c r="H10" s="22" t="n"/>
      <c r="I10" s="22" t="n"/>
      <c r="J10" s="22" t="n"/>
      <c r="K10" s="21" t="n"/>
      <c r="L10" s="22" t="n"/>
      <c r="M10" s="21" t="n"/>
      <c r="N10" s="22" t="n"/>
    </row>
    <row r="11" ht="20" customHeight="1" s="36">
      <c r="A11" s="19" t="n"/>
      <c r="B11" s="23" t="n"/>
      <c r="C11" s="24" t="n"/>
      <c r="D11" s="24" t="n"/>
      <c r="E11" s="24" t="n"/>
      <c r="F11" s="21" t="n"/>
      <c r="G11" s="24" t="n"/>
      <c r="H11" s="24" t="n"/>
      <c r="I11" s="24" t="n"/>
      <c r="J11" s="24" t="n"/>
      <c r="K11" s="24" t="n"/>
      <c r="L11" s="21" t="n"/>
      <c r="M11" s="24" t="n"/>
      <c r="N11" s="24" t="n"/>
    </row>
    <row r="12" ht="20" customHeight="1" s="36">
      <c r="A12" s="19" t="n"/>
      <c r="B12" s="20" t="n"/>
      <c r="C12" s="22" t="n"/>
      <c r="D12" s="22" t="n"/>
      <c r="E12" s="21" t="n"/>
      <c r="F12" s="22" t="n"/>
      <c r="G12" s="22" t="n"/>
      <c r="H12" s="22" t="n"/>
      <c r="I12" s="22" t="n"/>
      <c r="J12" s="22" t="n"/>
      <c r="K12" s="22" t="n"/>
      <c r="L12" s="22" t="n"/>
      <c r="M12" s="21" t="n"/>
      <c r="N12" s="22" t="n"/>
    </row>
    <row r="13" ht="20" customHeight="1" s="36">
      <c r="A13" s="1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1" t="n"/>
      <c r="N13" s="24" t="n"/>
    </row>
    <row r="14" ht="20" customHeight="1" s="36">
      <c r="A14" s="19" t="n"/>
      <c r="B14" s="20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1" t="n"/>
    </row>
    <row r="15" ht="20" customHeight="1" s="36">
      <c r="A15" s="19" t="n"/>
      <c r="B15" s="23" t="n"/>
      <c r="C15" s="24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1" t="n"/>
    </row>
    <row r="17" ht="22" customHeight="1" s="36">
      <c r="A17" s="107" t="inlineStr">
        <is>
          <t>Cobertura total (%)</t>
        </is>
      </c>
      <c r="C17" s="106">
        <f>IFERROR(COUNTIF(C4:C4,"✓")/COUNTA($A$4:$A$4),"")</f>
        <v/>
      </c>
      <c r="D17" s="25">
        <f>IFERROR(COUNTIF(D4:D4,"✓")/COUNTA($A$4:$A$4),"")</f>
        <v/>
      </c>
      <c r="E17" s="25">
        <f>IFERROR(COUNTIF(E4:E4,"✓")/COUNTA($A$4:$A$4),"")</f>
        <v/>
      </c>
      <c r="F17" s="25">
        <f>IFERROR(COUNTIF(F4:F4,"✓")/COUNTA($A$4:$A$4),"")</f>
        <v/>
      </c>
      <c r="G17" s="25">
        <f>IFERROR(COUNTIF(G4:G4,"✓")/COUNTA($A$4:$A$4),"")</f>
        <v/>
      </c>
      <c r="H17" s="25">
        <f>IFERROR(COUNTIF(H4:H4,"✓")/COUNTA($A$4:$A$4),"")</f>
        <v/>
      </c>
      <c r="I17" s="25">
        <f>IFERROR(COUNTIF(I4:I4,"✓")/COUNTA($A$4:$A$4),"")</f>
        <v/>
      </c>
      <c r="J17" s="25">
        <f>IFERROR(COUNTIF(J4:J4,"✓")/COUNTA($A$4:$A$4),"")</f>
        <v/>
      </c>
      <c r="K17" s="25">
        <f>IFERROR(COUNTIF(K4:K4,"✓")/COUNTA($A$4:$A$4),"")</f>
        <v/>
      </c>
      <c r="L17" s="25">
        <f>IFERROR(COUNTIF(L4:L4,"✓")/COUNTA($A$4:$A$4),"")</f>
        <v/>
      </c>
      <c r="M17" s="25">
        <f>IFERROR(COUNTIF(M4:M4,"✓")/COUNTA($A$4:$A$4),"")</f>
        <v/>
      </c>
      <c r="N17" s="25">
        <f>IFERROR(COUNTIF(N4:N4,"✓")/COUNTA($A$4:$A$4),"")</f>
        <v/>
      </c>
    </row>
    <row r="18" ht="35" customHeight="1" s="36">
      <c r="A18" s="129" t="inlineStr">
        <is>
          <t>Nota: no se realizaron casos de prueba formales; por eso no hay cobertura de pruebas marcada.</t>
        </is>
      </c>
    </row>
  </sheetData>
  <mergeCells count="6">
    <mergeCell ref="A18:N18"/>
    <mergeCell ref="A1:M1"/>
    <mergeCell ref="G2:K2"/>
    <mergeCell ref="C2:F2"/>
    <mergeCell ref="A17:B17"/>
    <mergeCell ref="L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8" sqref="A18:F18"/>
    </sheetView>
  </sheetViews>
  <sheetFormatPr baseColWidth="10" defaultColWidth="8.83203125" defaultRowHeight="15"/>
  <cols>
    <col width="12" customWidth="1" style="36" min="1" max="1"/>
    <col width="28" customWidth="1" style="36" min="2" max="2"/>
    <col width="14" customWidth="1" style="36" min="3" max="4"/>
    <col width="18" customWidth="1" style="36" min="5" max="5"/>
    <col width="12" customWidth="1" style="36" min="6" max="6"/>
    <col width="14" customWidth="1" style="36" min="7" max="8"/>
    <col width="18" customWidth="1" style="36" min="9" max="9"/>
  </cols>
  <sheetData>
    <row r="1" ht="42" customHeight="1" s="36">
      <c r="A1" s="114" t="inlineStr">
        <is>
          <t>RESUMEN Y MÉTRICAS — Dashboard de trazabilidad</t>
        </is>
      </c>
    </row>
    <row r="2" ht="18" customHeight="1" s="36">
      <c r="A2" s="102" t="inlineStr">
        <is>
          <t>Las métricas se calculan automáticamente a partir de la hoja '📋 Matriz principal'. Caso: Dietas al Día.</t>
        </is>
      </c>
    </row>
    <row r="3" ht="10" customHeight="1" s="36"/>
    <row r="4" ht="18" customHeight="1" s="36">
      <c r="A4" s="84" t="inlineStr">
        <is>
          <t>Total requisitos</t>
        </is>
      </c>
      <c r="C4" s="81" t="inlineStr">
        <is>
          <t>Verificados</t>
        </is>
      </c>
      <c r="D4" s="148" t="n"/>
      <c r="E4" s="57" t="inlineStr">
        <is>
          <t>En desarrollo</t>
        </is>
      </c>
      <c r="F4" s="146" t="n"/>
      <c r="G4" s="53" t="inlineStr">
        <is>
          <t>Bloqueados / Fallidos</t>
        </is>
      </c>
      <c r="H4" s="151" t="n"/>
      <c r="I4" s="54" t="inlineStr">
        <is>
          <t>Sin caso de prueba</t>
        </is>
      </c>
      <c r="J4" s="152" t="n"/>
    </row>
    <row r="5" ht="40" customHeight="1" s="36">
      <c r="A5" s="86">
        <f>COUNTA('📋 Matriz principal'!A4:A103)</f>
        <v/>
      </c>
      <c r="C5" s="82">
        <f>COUNTIF('📋 Matriz principal'!O4:O103,"Verificado")</f>
        <v/>
      </c>
      <c r="D5" s="148" t="n"/>
      <c r="E5" s="62">
        <f>COUNTIF('📋 Matriz principal'!O4:O103,"En desarrollo")</f>
        <v/>
      </c>
      <c r="F5" s="146" t="n"/>
      <c r="G5" s="51">
        <f>COUNTIF('📋 Matriz principal'!O4:O103,"Bloqueado")+COUNTIF('📋 Matriz principal'!M4:M103,"Fallido")</f>
        <v/>
      </c>
      <c r="H5" s="151" t="n"/>
      <c r="I5" s="52">
        <f>COUNTIFS('📋 Matriz principal'!A4:A103,"&lt;&gt;",'📋 Matriz principal'!L4:L103,"")</f>
        <v/>
      </c>
      <c r="J5" s="152" t="n"/>
    </row>
    <row r="6" ht="22" customHeight="1" s="36">
      <c r="A6" s="85" t="n"/>
      <c r="C6" s="83" t="n"/>
      <c r="D6" s="148" t="n"/>
      <c r="E6" s="50" t="n"/>
      <c r="F6" s="146" t="n"/>
      <c r="G6" s="58" t="n"/>
      <c r="H6" s="151" t="n"/>
      <c r="I6" s="61" t="n"/>
      <c r="J6" s="152" t="n"/>
    </row>
    <row r="7" ht="16" customHeight="1" s="36"/>
    <row r="8" ht="20" customHeight="1" s="36">
      <c r="A8" s="94" t="inlineStr">
        <is>
          <t>DISTRIBUCIÓN DE ESTADOS</t>
        </is>
      </c>
    </row>
    <row r="9" ht="18" customHeight="1" s="36">
      <c r="A9" s="87" t="inlineStr">
        <is>
          <t>Propuesto</t>
        </is>
      </c>
      <c r="B9" s="88" t="inlineStr">
        <is>
          <t>Aprobado</t>
        </is>
      </c>
      <c r="C9" s="89" t="inlineStr">
        <is>
          <t>En desarrollo</t>
        </is>
      </c>
      <c r="D9" s="88" t="inlineStr">
        <is>
          <t>Implementado</t>
        </is>
      </c>
      <c r="E9" s="90" t="inlineStr">
        <is>
          <t>Verificado</t>
        </is>
      </c>
      <c r="F9" s="91" t="inlineStr">
        <is>
          <t>Aplazado</t>
        </is>
      </c>
      <c r="G9" s="92" t="inlineStr">
        <is>
          <t>Rechazado</t>
        </is>
      </c>
      <c r="H9" s="93" t="inlineStr">
        <is>
          <t>Archivado</t>
        </is>
      </c>
    </row>
    <row r="10" ht="24" customHeight="1" s="36">
      <c r="A10" s="26">
        <f>COUNTIF('📋 Matriz principal'!O4:O103,"Propuesto")</f>
        <v/>
      </c>
      <c r="B10" s="27">
        <f>COUNTIF('📋 Matriz principal'!O4:O103,"Aprobado")</f>
        <v/>
      </c>
      <c r="C10" s="28">
        <f>COUNTIF('📋 Matriz principal'!O4:O103,"En desarrollo")</f>
        <v/>
      </c>
      <c r="D10" s="27">
        <f>COUNTIF('📋 Matriz principal'!O4:O103,"Implementado")</f>
        <v/>
      </c>
      <c r="E10" s="29">
        <f>COUNTIF('📋 Matriz principal'!O4:O103,"Verificado")</f>
        <v/>
      </c>
      <c r="F10" s="30">
        <f>COUNTIF('📋 Matriz principal'!O4:O103,"Aplazado")</f>
        <v/>
      </c>
      <c r="G10" s="31">
        <f>COUNTIF('📋 Matriz principal'!O4:O103,"Rechazado")</f>
        <v/>
      </c>
      <c r="H10" s="32">
        <f>COUNTIF('📋 Matriz principal'!O4:O103,"Archivado")</f>
        <v/>
      </c>
    </row>
    <row r="11" ht="16" customHeight="1" s="36"/>
    <row r="12" ht="20" customHeight="1" s="36">
      <c r="A12" s="94" t="inlineStr">
        <is>
          <t>DISTRIBUCIÓN POR PRIORIDAD (MoSCoW)</t>
        </is>
      </c>
    </row>
    <row r="13" ht="18" customHeight="1" s="36">
      <c r="A13" s="95" t="inlineStr">
        <is>
          <t>Must have</t>
        </is>
      </c>
      <c r="B13" s="127" t="n"/>
      <c r="C13" s="96" t="inlineStr">
        <is>
          <t>Should have</t>
        </is>
      </c>
      <c r="D13" s="127" t="n"/>
      <c r="E13" s="97" t="inlineStr">
        <is>
          <t>Could have</t>
        </is>
      </c>
      <c r="F13" s="127" t="n"/>
      <c r="G13" s="98" t="inlineStr">
        <is>
          <t>Won't have</t>
        </is>
      </c>
      <c r="H13" s="127" t="n"/>
    </row>
    <row r="14" ht="24" customHeight="1" s="36">
      <c r="A14" s="59">
        <f>COUNTIF('📋 Matriz principal'!F4:F103,"Must have")</f>
        <v/>
      </c>
      <c r="B14" s="120" t="n"/>
      <c r="C14" s="55">
        <f>COUNTIF('📋 Matriz principal'!F4:F103,"Should have")</f>
        <v/>
      </c>
      <c r="D14" s="120" t="n"/>
      <c r="E14" s="56">
        <f>COUNTIF('📋 Matriz principal'!F4:F103,"Could have")</f>
        <v/>
      </c>
      <c r="F14" s="120" t="n"/>
      <c r="G14" s="60">
        <f>COUNTIF('📋 Matriz principal'!F4:F103,"Won't have")</f>
        <v/>
      </c>
      <c r="H14" s="120" t="n"/>
    </row>
    <row r="15" ht="16" customHeight="1" s="36"/>
    <row r="16" ht="20" customHeight="1" s="36">
      <c r="A16" s="94" t="inlineStr">
        <is>
          <t>ALERTAS DE COBERTURA — Requisitos sin caso de prueba asignado</t>
        </is>
      </c>
    </row>
    <row r="17" ht="18" customHeight="1" s="36">
      <c r="A17" s="99" t="inlineStr">
        <is>
          <t>ID Req.</t>
        </is>
      </c>
      <c r="B17" s="99" t="inlineStr">
        <is>
          <t>Título</t>
        </is>
      </c>
      <c r="C17" s="99" t="inlineStr">
        <is>
          <t>Prioridad</t>
        </is>
      </c>
      <c r="D17" s="99" t="inlineStr">
        <is>
          <t>Estado</t>
        </is>
      </c>
      <c r="E17" s="99" t="inlineStr">
        <is>
          <t>Responsable</t>
        </is>
      </c>
      <c r="F17" s="99" t="inlineStr">
        <is>
          <t>Sprint</t>
        </is>
      </c>
    </row>
    <row r="18" ht="20" customHeight="1" s="36">
      <c r="A18" s="153" t="inlineStr">
        <is>
          <t>EPC-28 — Asignación tratamiento nutricional — Pendiente de validación — sin casos de prueba formales.</t>
        </is>
      </c>
    </row>
  </sheetData>
  <mergeCells count="29">
    <mergeCell ref="C6:D6"/>
    <mergeCell ref="I6:J6"/>
    <mergeCell ref="A8:J8"/>
    <mergeCell ref="C5:D5"/>
    <mergeCell ref="E5:F5"/>
    <mergeCell ref="C14:D14"/>
    <mergeCell ref="E14:F14"/>
    <mergeCell ref="A18:F18"/>
    <mergeCell ref="A6:B6"/>
    <mergeCell ref="C4:D4"/>
    <mergeCell ref="E4:F4"/>
    <mergeCell ref="A16:H16"/>
    <mergeCell ref="E13:F13"/>
    <mergeCell ref="G6:H6"/>
    <mergeCell ref="G13:H13"/>
    <mergeCell ref="A12:H12"/>
    <mergeCell ref="A1:J1"/>
    <mergeCell ref="E6:F6"/>
    <mergeCell ref="A5:B5"/>
    <mergeCell ref="G5:H5"/>
    <mergeCell ref="A14:B14"/>
    <mergeCell ref="G14:H14"/>
    <mergeCell ref="I5:J5"/>
    <mergeCell ref="A4:B4"/>
    <mergeCell ref="G4:H4"/>
    <mergeCell ref="I4:J4"/>
    <mergeCell ref="A13:B13"/>
    <mergeCell ref="C13:D1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2" topLeftCell="A3" activePane="bottomLeft" state="frozen"/>
      <selection pane="bottomLeft" activeCell="S3" sqref="S3"/>
    </sheetView>
  </sheetViews>
  <sheetFormatPr baseColWidth="10" defaultColWidth="8.83203125" defaultRowHeight="15"/>
  <cols>
    <col width="10" customWidth="1" style="36" min="1" max="1"/>
    <col width="30" customWidth="1" style="36" min="2" max="2"/>
    <col width="18" customWidth="1" style="36" min="3" max="3"/>
    <col width="14" customWidth="1" style="36" min="4" max="4"/>
    <col width="12" customWidth="1" style="36" min="5" max="5"/>
    <col width="20" customWidth="1" style="36" min="6" max="6"/>
    <col width="28" customWidth="1" style="36" min="7" max="7"/>
    <col width="14" customWidth="1" style="36" min="8" max="9"/>
    <col width="18" customWidth="1" style="36" min="10" max="10"/>
    <col width="12" customWidth="1" style="36" min="11" max="11"/>
    <col width="14" customWidth="1" style="36" min="12" max="12"/>
    <col width="28" customWidth="1" style="36" min="13" max="13"/>
  </cols>
  <sheetData>
    <row r="1" ht="36" customHeight="1" s="36">
      <c r="A1" s="69" t="inlineStr">
        <is>
          <t>REGISTRO DE SOLICITUDES DE CAMBIO (RFC)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</row>
    <row r="2" ht="36" customHeight="1" s="36">
      <c r="A2" s="78" t="inlineStr">
        <is>
          <t>ID RFC</t>
        </is>
      </c>
      <c r="B2" s="79" t="inlineStr">
        <is>
          <t>Título del cambio</t>
        </is>
      </c>
      <c r="C2" s="80" t="inlineStr">
        <is>
          <t>Solicitante</t>
        </is>
      </c>
      <c r="D2" s="78" t="inlineStr">
        <is>
          <t>Fecha solicitud</t>
        </is>
      </c>
      <c r="E2" s="78" t="inlineStr">
        <is>
          <t>Prioridad</t>
        </is>
      </c>
      <c r="F2" s="78" t="inlineStr">
        <is>
          <t>Requisito(s) afect.</t>
        </is>
      </c>
      <c r="G2" s="78" t="inlineStr">
        <is>
          <t>Artefactos impactados</t>
        </is>
      </c>
      <c r="H2" s="78" t="inlineStr">
        <is>
          <t>Decisión CCB</t>
        </is>
      </c>
      <c r="I2" s="78" t="inlineStr">
        <is>
          <t>Fecha decisión</t>
        </is>
      </c>
      <c r="J2" s="78" t="inlineStr">
        <is>
          <t>Responsable impl.</t>
        </is>
      </c>
      <c r="K2" s="78" t="inlineStr">
        <is>
          <t>Sprint impl.</t>
        </is>
      </c>
      <c r="L2" s="78" t="inlineStr">
        <is>
          <t>Estado RFC</t>
        </is>
      </c>
      <c r="M2" s="78" t="inlineStr">
        <is>
          <t>Notas</t>
        </is>
      </c>
    </row>
    <row r="3" ht="30" customHeight="1" s="36">
      <c r="A3" s="155" t="inlineStr">
        <is>
          <t>No hay RFC registradas para Dietas al Día en los documentos suministrados.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7" t="n"/>
    </row>
    <row r="4" ht="30" customHeight="1" s="36">
      <c r="A4" s="33" t="n"/>
      <c r="B4" s="38" t="n"/>
      <c r="C4" s="38" t="n"/>
      <c r="D4" s="9" t="n"/>
      <c r="E4" s="15" t="n"/>
      <c r="F4" s="38" t="n"/>
      <c r="G4" s="38" t="n"/>
      <c r="H4" s="11" t="n"/>
      <c r="I4" s="9" t="n"/>
      <c r="J4" s="38" t="n"/>
      <c r="K4" s="9" t="n"/>
      <c r="L4" s="11" t="n"/>
      <c r="M4" s="38" t="n"/>
    </row>
    <row r="5" ht="30" customHeight="1" s="36">
      <c r="A5" s="33" t="n"/>
      <c r="B5" s="2" t="n"/>
      <c r="C5" s="2" t="n"/>
      <c r="D5" s="13" t="n"/>
      <c r="E5" s="14" t="n"/>
      <c r="F5" s="2" t="n"/>
      <c r="G5" s="2" t="n"/>
      <c r="H5" s="11" t="n"/>
      <c r="I5" s="13" t="n"/>
      <c r="J5" s="2" t="n"/>
      <c r="K5" s="13" t="n"/>
      <c r="L5" s="14" t="n"/>
      <c r="M5" s="2" t="n"/>
    </row>
    <row r="6" ht="30" customHeight="1" s="36">
      <c r="A6" s="33" t="n"/>
      <c r="B6" s="38" t="n"/>
      <c r="C6" s="38" t="n"/>
      <c r="D6" s="9" t="n"/>
      <c r="E6" s="10" t="n"/>
      <c r="F6" s="38" t="n"/>
      <c r="G6" s="38" t="n"/>
      <c r="H6" s="14" t="n"/>
      <c r="I6" s="9" t="n"/>
      <c r="J6" s="38" t="n"/>
      <c r="K6" s="9" t="n"/>
      <c r="L6" s="15" t="n"/>
      <c r="M6" s="38" t="n"/>
    </row>
    <row r="7" ht="30" customHeight="1" s="36">
      <c r="A7" s="33" t="n"/>
      <c r="B7" s="2" t="n"/>
      <c r="C7" s="2" t="n"/>
      <c r="D7" s="13" t="n"/>
      <c r="E7" s="15" t="n"/>
      <c r="F7" s="2" t="n"/>
      <c r="G7" s="2" t="n"/>
      <c r="H7" s="10" t="n"/>
      <c r="I7" s="13" t="n"/>
      <c r="J7" s="2" t="n"/>
      <c r="K7" s="13" t="n"/>
      <c r="L7" s="10" t="n"/>
      <c r="M7" s="2" t="n"/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workbookViewId="0">
      <pane ySplit="2" topLeftCell="A3" activePane="bottomLeft" state="frozen"/>
      <selection pane="bottomLeft" activeCell="K7" sqref="K7"/>
    </sheetView>
  </sheetViews>
  <sheetFormatPr baseColWidth="10" defaultColWidth="8.83203125" defaultRowHeight="15"/>
  <cols>
    <col width="18" customWidth="1" style="36" min="1" max="2"/>
    <col width="22" customWidth="1" style="36" min="2" max="2"/>
    <col width="50" customWidth="1" style="36" min="3" max="3"/>
    <col width="18" customWidth="1" style="36" min="4" max="4"/>
    <col width="24" customWidth="1" style="36" min="5" max="6"/>
    <col width="20" customWidth="1" style="36" min="6" max="6"/>
    <col width="25" customWidth="1" style="36" min="7" max="7"/>
  </cols>
  <sheetData>
    <row r="1" ht="36" customHeight="1" s="36">
      <c r="A1" s="69" t="inlineStr">
        <is>
          <t>CATÁLOGO DE ARTEFACTOS</t>
        </is>
      </c>
      <c r="B1" s="154" t="n"/>
      <c r="C1" s="154" t="n"/>
      <c r="D1" s="154" t="n"/>
      <c r="E1" s="154" t="n"/>
      <c r="F1" s="154" t="n"/>
      <c r="G1" s="154" t="n"/>
    </row>
    <row r="2" ht="34" customHeight="1" s="36">
      <c r="A2" s="100" t="inlineStr">
        <is>
          <t>ID Artefacto</t>
        </is>
      </c>
      <c r="B2" s="101" t="inlineStr">
        <is>
          <t>Tipo</t>
        </is>
      </c>
      <c r="C2" s="71" t="inlineStr">
        <is>
          <t>Nombre / Descripción</t>
        </is>
      </c>
      <c r="D2" s="101" t="inlineStr">
        <is>
          <t>Versión actual</t>
        </is>
      </c>
      <c r="E2" s="101" t="inlineStr">
        <is>
          <t>Propietario</t>
        </is>
      </c>
      <c r="F2" s="101" t="inlineStr">
        <is>
          <t>Última actualización</t>
        </is>
      </c>
      <c r="G2" s="72" t="inlineStr">
        <is>
          <t>Requisitos vinculados</t>
        </is>
      </c>
    </row>
    <row r="3" ht="45" customHeight="1" s="36">
      <c r="A3" s="156" t="inlineStr">
        <is>
          <t>DIA-REQ-028</t>
        </is>
      </c>
      <c r="B3" s="157" t="inlineStr">
        <is>
          <t>Requisito</t>
        </is>
      </c>
      <c r="C3" s="158" t="inlineStr">
        <is>
          <t>EPC 28 — Asignación tratamiento nutricional</t>
        </is>
      </c>
      <c r="D3" s="158" t="inlineStr">
        <is>
          <t>1.0</t>
        </is>
      </c>
      <c r="E3" s="158" t="inlineStr">
        <is>
          <t>Equipo de proyecto</t>
        </is>
      </c>
      <c r="F3" s="158" t="n"/>
      <c r="G3" s="158" t="inlineStr">
        <is>
          <t>EPC-28</t>
        </is>
      </c>
    </row>
    <row r="4" ht="45" customHeight="1" s="36">
      <c r="A4" s="156" t="inlineStr">
        <is>
          <t>DIA-PROT-001</t>
        </is>
      </c>
      <c r="B4" s="157" t="inlineStr">
        <is>
          <t>Documento de prototipado</t>
        </is>
      </c>
      <c r="C4" s="141" t="inlineStr">
        <is>
          <t>Tarea de prototipado — Dietas al Día</t>
        </is>
      </c>
      <c r="D4" s="141" t="inlineStr">
        <is>
          <t>1.0</t>
        </is>
      </c>
      <c r="E4" s="141" t="inlineStr">
        <is>
          <t>Equipo de proyecto</t>
        </is>
      </c>
      <c r="F4" s="141" t="n"/>
      <c r="G4" s="141" t="inlineStr">
        <is>
          <t>EPC-28</t>
        </is>
      </c>
    </row>
    <row r="5" ht="45" customHeight="1" s="36">
      <c r="A5" s="156" t="inlineStr">
        <is>
          <t>DIA-COD-001</t>
        </is>
      </c>
      <c r="B5" s="157" t="inlineStr">
        <is>
          <t>Repositorio de código</t>
        </is>
      </c>
      <c r="C5" s="158" t="inlineStr">
        <is>
          <t>Prototipado_Sistema_Salud — código del prototipo</t>
        </is>
      </c>
      <c r="D5" s="158" t="inlineStr">
        <is>
          <t>1.0</t>
        </is>
      </c>
      <c r="E5" s="158" t="inlineStr">
        <is>
          <t>Equipo de proyecto</t>
        </is>
      </c>
      <c r="F5" s="158" t="n"/>
      <c r="G5" s="158" t="inlineStr">
        <is>
          <t>EPC-28</t>
        </is>
      </c>
    </row>
    <row r="6" ht="45" customHeight="1" s="36">
      <c r="A6" s="156" t="inlineStr">
        <is>
          <t>DIA-TC-001</t>
        </is>
      </c>
      <c r="B6" s="142" t="inlineStr">
        <is>
          <t>Caso de prueba</t>
        </is>
      </c>
      <c r="C6" s="141" t="inlineStr">
        <is>
          <t>No existe caso de prueba formal para EPC-28</t>
        </is>
      </c>
      <c r="D6" s="141" t="inlineStr">
        <is>
          <t>N/A</t>
        </is>
      </c>
      <c r="E6" s="141" t="inlineStr">
        <is>
          <t>No aplica</t>
        </is>
      </c>
      <c r="F6" s="141" t="n"/>
      <c r="G6" s="141" t="inlineStr">
        <is>
          <t>EPC-28</t>
        </is>
      </c>
    </row>
    <row r="7" ht="45" customHeight="1" s="36">
      <c r="A7" s="156" t="inlineStr">
        <is>
          <t>DIA-EPI-001</t>
        </is>
      </c>
      <c r="B7" s="142" t="inlineStr">
        <is>
          <t>Documento de épicas/requisitos</t>
        </is>
      </c>
      <c r="C7" s="158" t="inlineStr">
        <is>
          <t>Epicas — Dietas al Día (EPC 28 y requisitos relacionados)</t>
        </is>
      </c>
      <c r="D7" s="158" t="inlineStr">
        <is>
          <t>1.0</t>
        </is>
      </c>
      <c r="E7" s="158" t="inlineStr">
        <is>
          <t>Equipo de proyecto</t>
        </is>
      </c>
      <c r="F7" s="158" t="n"/>
      <c r="G7" s="158" t="inlineStr">
        <is>
          <t>EPC-28</t>
        </is>
      </c>
    </row>
    <row r="8" ht="22" customHeight="1" s="36">
      <c r="A8" s="33" t="n"/>
      <c r="B8" s="11" t="n"/>
      <c r="C8" s="38" t="n"/>
      <c r="D8" s="9" t="n"/>
      <c r="E8" s="38" t="n"/>
      <c r="F8" s="9" t="n"/>
      <c r="G8" s="38" t="n"/>
    </row>
    <row r="9" ht="22" customHeight="1" s="36">
      <c r="A9" s="33" t="n"/>
      <c r="B9" s="11" t="n"/>
      <c r="C9" s="2" t="n"/>
      <c r="D9" s="13" t="n"/>
      <c r="E9" s="2" t="n"/>
      <c r="F9" s="13" t="n"/>
      <c r="G9" s="2" t="n"/>
    </row>
    <row r="10" ht="22" customHeight="1" s="36">
      <c r="A10" s="33" t="n"/>
      <c r="B10" s="11" t="n"/>
      <c r="C10" s="38" t="n"/>
      <c r="D10" s="9" t="n"/>
      <c r="E10" s="38" t="n"/>
      <c r="F10" s="9" t="n"/>
      <c r="G10" s="38" t="n"/>
    </row>
    <row r="11" ht="22" customHeight="1" s="36">
      <c r="A11" s="33" t="n"/>
      <c r="B11" s="11" t="n"/>
      <c r="C11" s="2" t="n"/>
      <c r="D11" s="13" t="n"/>
      <c r="E11" s="2" t="n"/>
      <c r="F11" s="13" t="n"/>
      <c r="G11" s="2" t="n"/>
    </row>
    <row r="12" ht="22" customHeight="1" s="36">
      <c r="A12" s="33" t="n"/>
      <c r="B12" s="11" t="n"/>
      <c r="C12" s="38" t="n"/>
      <c r="D12" s="9" t="n"/>
      <c r="E12" s="38" t="n"/>
      <c r="F12" s="9" t="n"/>
      <c r="G12" s="38" t="n"/>
    </row>
    <row r="13" ht="22" customHeight="1" s="36">
      <c r="A13" s="33" t="n"/>
      <c r="B13" s="11" t="n"/>
      <c r="C13" s="2" t="n"/>
      <c r="D13" s="13" t="n"/>
      <c r="E13" s="2" t="n"/>
      <c r="F13" s="13" t="n"/>
      <c r="G13" s="2" t="n"/>
    </row>
    <row r="14" ht="22" customHeight="1" s="36">
      <c r="A14" s="33" t="n"/>
      <c r="B14" s="34" t="n"/>
      <c r="C14" s="38" t="n"/>
      <c r="D14" s="9" t="n"/>
      <c r="E14" s="38" t="n"/>
      <c r="F14" s="9" t="n"/>
      <c r="G14" s="38" t="n"/>
    </row>
    <row r="15" ht="22" customHeight="1" s="36">
      <c r="A15" s="33" t="n"/>
      <c r="B15" s="34" t="n"/>
      <c r="C15" s="2" t="n"/>
      <c r="D15" s="13" t="n"/>
      <c r="E15" s="2" t="n"/>
      <c r="F15" s="13" t="n"/>
      <c r="G15" s="2" t="n"/>
    </row>
    <row r="16" ht="22" customHeight="1" s="36">
      <c r="A16" s="33" t="n"/>
      <c r="B16" s="34" t="n"/>
      <c r="C16" s="38" t="n"/>
      <c r="D16" s="9" t="n"/>
      <c r="E16" s="38" t="n"/>
      <c r="F16" s="9" t="n"/>
      <c r="G16" s="38" t="n"/>
    </row>
    <row r="17" ht="22" customHeight="1" s="36">
      <c r="A17" s="33" t="n"/>
      <c r="B17" s="34" t="n"/>
      <c r="C17" s="2" t="n"/>
      <c r="D17" s="13" t="n"/>
      <c r="E17" s="2" t="n"/>
      <c r="F17" s="13" t="n"/>
      <c r="G17" s="2" t="n"/>
    </row>
    <row r="18" ht="22" customHeight="1" s="36">
      <c r="A18" s="33" t="n"/>
      <c r="B18" s="34" t="n"/>
      <c r="C18" s="38" t="n"/>
      <c r="D18" s="9" t="n"/>
      <c r="E18" s="38" t="n"/>
      <c r="F18" s="9" t="n"/>
      <c r="G18" s="38" t="n"/>
    </row>
    <row r="19" ht="22" customHeight="1" s="36">
      <c r="A19" s="33" t="n"/>
      <c r="B19" s="35" t="n"/>
      <c r="C19" s="2" t="n"/>
      <c r="D19" s="13" t="n"/>
      <c r="E19" s="2" t="n"/>
      <c r="F19" s="13" t="n"/>
      <c r="G19" s="2" t="n"/>
    </row>
    <row r="20" ht="22" customHeight="1" s="36">
      <c r="A20" s="33" t="n"/>
      <c r="B20" s="35" t="n"/>
      <c r="C20" s="38" t="n"/>
      <c r="D20" s="9" t="n"/>
      <c r="E20" s="38" t="n"/>
      <c r="F20" s="9" t="n"/>
      <c r="G20" s="38" t="n"/>
    </row>
    <row r="21" ht="22" customHeight="1" s="36">
      <c r="A21" s="33" t="n"/>
      <c r="B21" s="14" t="n"/>
      <c r="C21" s="2" t="n"/>
      <c r="D21" s="13" t="n"/>
      <c r="E21" s="2" t="n"/>
      <c r="F21" s="13" t="n"/>
      <c r="G21" s="2" t="n"/>
    </row>
    <row r="22" ht="22" customHeight="1" s="36">
      <c r="A22" s="33" t="n"/>
      <c r="B22" s="33" t="n"/>
      <c r="C22" s="38" t="n"/>
      <c r="D22" s="9" t="n"/>
      <c r="E22" s="38" t="n"/>
      <c r="F22" s="9" t="n"/>
      <c r="G22" s="38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2026-06-17T01:22:24Z</dcterms:created>
  <dcterms:modified xmlns:dcterms="http://purl.org/dc/terms/" xmlns:xsi="http://www.w3.org/2001/XMLSchema-instance" xsi:type="dcterms:W3CDTF">2026-09-23T18:32:57Z</dcterms:modified>
  <cp:lastModifiedBy>Maria Camila Arroyave Corrales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0x0101006127783753953547B7FC3082537267E2</vt:lpwstr>
  </property>
  <property name="MediaServiceImageTags" fmtid="{D5CDD505-2E9C-101B-9397-08002B2CF9AE}" pid="3">
    <vt:lpwstr xmlns:vt="http://schemas.openxmlformats.org/officeDocument/2006/docPropsVTypes"/>
  </property>
</Properties>
</file>